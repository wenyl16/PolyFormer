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44" documentId="13_ncr:1_{0D398783-134B-4F7F-91B4-0A7AF6CF4838}" xr6:coauthVersionLast="47" xr6:coauthVersionMax="47" xr10:uidLastSave="{8F0959A6-E0B0-481F-ADF0-303C95608A45}"/>
  <bookViews>
    <workbookView xWindow="-108" yWindow="-108" windowWidth="4149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<sst xmlns="http://schemas.openxmlformats.org/spreadsheetml/2006/main" count="36" uniqueCount="16">
  <si>
    <t>distance</t>
  </si>
  <si>
    <t>solve_time</t>
  </si>
  <si>
    <t>total_time</t>
  </si>
  <si>
    <t>solver_status</t>
  </si>
  <si>
    <t>success</t>
  </si>
  <si>
    <t>Squared errors of APA</t>
    <phoneticPr fontId="3" type="noConversion"/>
  </si>
  <si>
    <t>Squared errors of minimal Hausdorff distance</t>
    <phoneticPr fontId="3" type="noConversion"/>
  </si>
  <si>
    <t>Dimension</t>
    <phoneticPr fontId="3" type="noConversion"/>
  </si>
  <si>
    <t>Optimality error</t>
    <phoneticPr fontId="3" type="noConversion"/>
  </si>
  <si>
    <t>Feasibility error</t>
    <phoneticPr fontId="3" type="noConversion"/>
  </si>
  <si>
    <t>Minimal hausdorff distance</t>
    <phoneticPr fontId="3" type="noConversion"/>
  </si>
  <si>
    <t>error_ideal</t>
    <phoneticPr fontId="3" type="noConversion"/>
  </si>
  <si>
    <t>n_train1</t>
    <phoneticPr fontId="3" type="noConversion"/>
  </si>
  <si>
    <t>n_train2</t>
    <phoneticPr fontId="3" type="noConversion"/>
  </si>
  <si>
    <t>lr1</t>
    <phoneticPr fontId="3" type="noConversion"/>
  </si>
  <si>
    <t>lr2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</si>
</sst>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SimSun"/>
      <charset val="134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9"/>
      <name val="SimSun"/>
      <charset val="134"/>
      <scheme val="minor"/>
    </font>
    <font>
      <sz val="11"/>
      <color theme="1"/>
      <name val="SimSun"/>
      <family val="3"/>
      <charset val="134"/>
      <scheme val="minor"/>
    </font>
    <font>
      <b/>
      <sz val="11"/>
      <color theme="1"/>
      <name val="SimSun"/>
      <family val="3"/>
      <charset val="134"/>
    </font>
    <font>
      <sz val="12"/>
      <color rgb="FF2AACB8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/>
      <top/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/>
      <top style="medium">
        <color rgb="FFE0E0E0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1" fontId="0" fillId="0" borderId="0" xfId="0" applyNumberFormat="1">
      <alignment vertical="center"/>
    </xf>
    <xf numFmtId="11" fontId="6" fillId="0" borderId="0" xfId="0" applyNumberFormat="1" applyFont="1">
      <alignment vertical="center"/>
    </xf>
    <xf numFmtId="0" fontId="6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99759405074399"/>
          <c:y val="5.6481481481481501E-2"/>
          <c:w val="0.81644685039370102"/>
          <c:h val="0.608619793833753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Feasibility 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180</c:v>
                </c:pt>
                <c:pt idx="19">
                  <c:v>200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0.111108</c:v>
                </c:pt>
                <c:pt idx="1">
                  <c:v>0.13014700000000001</c:v>
                </c:pt>
                <c:pt idx="2">
                  <c:v>0.139067</c:v>
                </c:pt>
                <c:pt idx="3">
                  <c:v>0.16411100000000001</c:v>
                </c:pt>
                <c:pt idx="4">
                  <c:v>0.16698299999999999</c:v>
                </c:pt>
                <c:pt idx="5">
                  <c:v>0.17213200000000001</c:v>
                </c:pt>
                <c:pt idx="6">
                  <c:v>0.171734</c:v>
                </c:pt>
                <c:pt idx="7">
                  <c:v>0.19422400000000001</c:v>
                </c:pt>
                <c:pt idx="8">
                  <c:v>0.20876500000000001</c:v>
                </c:pt>
                <c:pt idx="9">
                  <c:v>0.27025700000000002</c:v>
                </c:pt>
                <c:pt idx="10">
                  <c:v>0.305533</c:v>
                </c:pt>
                <c:pt idx="11">
                  <c:v>0.50784200000000002</c:v>
                </c:pt>
                <c:pt idx="12">
                  <c:v>0.52732199999999996</c:v>
                </c:pt>
                <c:pt idx="13">
                  <c:v>0.58714900000000003</c:v>
                </c:pt>
                <c:pt idx="14">
                  <c:v>0.65915900000000005</c:v>
                </c:pt>
                <c:pt idx="15">
                  <c:v>0.70571600000000001</c:v>
                </c:pt>
                <c:pt idx="16">
                  <c:v>0.67064999999999997</c:v>
                </c:pt>
                <c:pt idx="17">
                  <c:v>0.69637800000000005</c:v>
                </c:pt>
                <c:pt idx="18">
                  <c:v>0.75686399999999998</c:v>
                </c:pt>
                <c:pt idx="19">
                  <c:v>0.73757700000000004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7A-4237-B0BC-E8695F4ECDA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Optimality error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180</c:v>
                </c:pt>
                <c:pt idx="19">
                  <c:v>200</c:v>
                </c:pt>
              </c:numCache>
            </c:numRef>
          </c:xVal>
          <c:yVal>
            <c:numRef>
              <c:f>Sheet1!$D$2:$D$21</c:f>
              <c:numCache>
                <c:formatCode>General</c:formatCode>
                <c:ptCount val="20"/>
                <c:pt idx="0">
                  <c:v>0.25280399999999997</c:v>
                </c:pt>
                <c:pt idx="1">
                  <c:v>0.469246</c:v>
                </c:pt>
                <c:pt idx="2">
                  <c:v>0.57342700000000002</c:v>
                </c:pt>
                <c:pt idx="3">
                  <c:v>0.63287300000000002</c:v>
                </c:pt>
                <c:pt idx="4">
                  <c:v>0.66134300000000001</c:v>
                </c:pt>
                <c:pt idx="5">
                  <c:v>0.73886700000000005</c:v>
                </c:pt>
                <c:pt idx="6">
                  <c:v>0.77451400000000004</c:v>
                </c:pt>
                <c:pt idx="7">
                  <c:v>0.82314299999999996</c:v>
                </c:pt>
                <c:pt idx="8">
                  <c:v>0.85612299999999997</c:v>
                </c:pt>
                <c:pt idx="9">
                  <c:v>0.87370499999999995</c:v>
                </c:pt>
                <c:pt idx="10">
                  <c:v>0.89363099999999995</c:v>
                </c:pt>
                <c:pt idx="11">
                  <c:v>0.90480300000000002</c:v>
                </c:pt>
                <c:pt idx="12">
                  <c:v>0.91591800000000001</c:v>
                </c:pt>
                <c:pt idx="13">
                  <c:v>0.92514700000000005</c:v>
                </c:pt>
                <c:pt idx="14">
                  <c:v>0.93141099999999999</c:v>
                </c:pt>
                <c:pt idx="15">
                  <c:v>0.93741399999999997</c:v>
                </c:pt>
                <c:pt idx="16">
                  <c:v>0.940859</c:v>
                </c:pt>
                <c:pt idx="17">
                  <c:v>0.945635</c:v>
                </c:pt>
                <c:pt idx="18">
                  <c:v>0.949187</c:v>
                </c:pt>
                <c:pt idx="19">
                  <c:v>0.95030700000000001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7A-4237-B0BC-E8695F4ECDA4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Minimal hausdorff distance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180</c:v>
                </c:pt>
                <c:pt idx="19">
                  <c:v>200</c:v>
                </c:pt>
              </c:numCache>
            </c:numRef>
          </c:xVal>
          <c:yVal>
            <c:numRef>
              <c:f>Sheet1!$E$2:$E$21</c:f>
              <c:numCache>
                <c:formatCode>General</c:formatCode>
                <c:ptCount val="20"/>
                <c:pt idx="0">
                  <c:v>0.171573</c:v>
                </c:pt>
                <c:pt idx="1">
                  <c:v>0.33333299999999999</c:v>
                </c:pt>
                <c:pt idx="2">
                  <c:v>0.42020400000000002</c:v>
                </c:pt>
                <c:pt idx="3">
                  <c:v>0.47759200000000002</c:v>
                </c:pt>
                <c:pt idx="4">
                  <c:v>0.51949400000000001</c:v>
                </c:pt>
                <c:pt idx="5">
                  <c:v>0.58957400000000004</c:v>
                </c:pt>
                <c:pt idx="6">
                  <c:v>0.63451199999999996</c:v>
                </c:pt>
                <c:pt idx="7">
                  <c:v>0.69122600000000001</c:v>
                </c:pt>
                <c:pt idx="8">
                  <c:v>0.72694599999999998</c:v>
                </c:pt>
                <c:pt idx="9">
                  <c:v>0.75220100000000001</c:v>
                </c:pt>
                <c:pt idx="10">
                  <c:v>0.77132299999999998</c:v>
                </c:pt>
                <c:pt idx="11">
                  <c:v>0.78647500000000004</c:v>
                </c:pt>
                <c:pt idx="12">
                  <c:v>0.79887900000000001</c:v>
                </c:pt>
                <c:pt idx="13">
                  <c:v>0.80928500000000003</c:v>
                </c:pt>
                <c:pt idx="14">
                  <c:v>0.81818199999999996</c:v>
                </c:pt>
                <c:pt idx="15">
                  <c:v>0.83269800000000005</c:v>
                </c:pt>
                <c:pt idx="16">
                  <c:v>0.84414199999999995</c:v>
                </c:pt>
                <c:pt idx="17">
                  <c:v>0.85346999999999995</c:v>
                </c:pt>
                <c:pt idx="18">
                  <c:v>0.86126899999999995</c:v>
                </c:pt>
                <c:pt idx="19">
                  <c:v>0.86791799999999997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7A-4237-B0BC-E8695F4EC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400384"/>
        <c:axId val="1420398944"/>
      </c:scatterChart>
      <c:valAx>
        <c:axId val="142040038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j-ea"/>
                    <a:cs typeface="Times New Roman" panose="02020603050405020304" pitchFamily="18" charset="0"/>
                  </a:defRPr>
                </a:pPr>
                <a:r>
                  <a:rPr lang="en-US" altLang="zh-CN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Dimension</a:t>
                </a:r>
                <a:endParaRPr lang="zh-CN" sz="1200"/>
              </a:p>
            </c:rich>
          </c:tx>
          <c:layout>
            <c:manualLayout>
              <c:xMode val="edge"/>
              <c:yMode val="edge"/>
              <c:x val="0.4823061177527167"/>
              <c:y val="0.76856751451562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j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endParaRPr lang="zh-CN"/>
          </a:p>
        </c:txPr>
        <c:crossAx val="1420398944"/>
        <c:crosses val="autoZero"/>
        <c:crossBetween val="midCat"/>
        <c:majorUnit val="20"/>
      </c:valAx>
      <c:valAx>
        <c:axId val="14203989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j-ea"/>
                    <a:cs typeface="Times New Roman" panose="02020603050405020304" pitchFamily="18" charset="0"/>
                  </a:defRPr>
                </a:pPr>
                <a:r>
                  <a:rPr lang="en-US" altLang="zh-CN" sz="1200"/>
                  <a:t>Error</a:t>
                </a:r>
                <a:endParaRPr lang="zh-CN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j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endParaRPr lang="zh-CN"/>
          </a:p>
        </c:txPr>
        <c:crossAx val="1420400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754363251804509E-2"/>
          <c:y val="0.85116478124993444"/>
          <c:w val="0.88889522618251893"/>
          <c:h val="0.113311016488684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8a4fce6-8239-4ce6-b82b-8be01b13043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050">
          <a:latin typeface="Times New Roman" panose="02020603050405020304" pitchFamily="18" charset="0"/>
          <a:ea typeface="+mj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99759405074366"/>
          <c:y val="5.0925925925925923E-2"/>
          <c:w val="0.8164468503937008"/>
          <c:h val="0.6709565470982794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Squared errors of APA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180</c:v>
                </c:pt>
                <c:pt idx="19">
                  <c:v>200</c:v>
                </c:pt>
              </c:numCache>
            </c:numRef>
          </c:xVal>
          <c:yVal>
            <c:numRef>
              <c:f>Sheet1!$K$2:$K$21</c:f>
              <c:numCache>
                <c:formatCode>General</c:formatCode>
                <c:ptCount val="20"/>
                <c:pt idx="0">
                  <c:v>7.6254850080000006E-2</c:v>
                </c:pt>
                <c:pt idx="1">
                  <c:v>0.23713005012499999</c:v>
                </c:pt>
                <c:pt idx="2">
                  <c:v>0.348158154818</c:v>
                </c:pt>
                <c:pt idx="3">
                  <c:v>0.42746065444999998</c:v>
                </c:pt>
                <c:pt idx="4">
                  <c:v>0.46525788593799999</c:v>
                </c:pt>
                <c:pt idx="5">
                  <c:v>0.57555386911299999</c:v>
                </c:pt>
                <c:pt idx="6">
                  <c:v>0.62936450295199997</c:v>
                </c:pt>
                <c:pt idx="7">
                  <c:v>0.71528736062499998</c:v>
                </c:pt>
                <c:pt idx="8">
                  <c:v>0.77652941635399997</c:v>
                </c:pt>
                <c:pt idx="9">
                  <c:v>0.83639927307399997</c:v>
                </c:pt>
                <c:pt idx="10">
                  <c:v>0.89192677825</c:v>
                </c:pt>
                <c:pt idx="11">
                  <c:v>1.076571965773</c:v>
                </c:pt>
                <c:pt idx="12">
                  <c:v>1.116974274408</c:v>
                </c:pt>
                <c:pt idx="13">
                  <c:v>1.2006409198100001</c:v>
                </c:pt>
                <c:pt idx="14">
                  <c:v>1.302017038202</c:v>
                </c:pt>
                <c:pt idx="15">
                  <c:v>1.376780080052</c:v>
                </c:pt>
                <c:pt idx="16">
                  <c:v>1.334987080381</c:v>
                </c:pt>
                <c:pt idx="17">
                  <c:v>1.3791678721089999</c:v>
                </c:pt>
                <c:pt idx="18">
                  <c:v>1.4737990754650001</c:v>
                </c:pt>
                <c:pt idx="19">
                  <c:v>1.4471032251780001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2B-4944-B98D-721D5AAFA8A2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Squared errors of minimal Hausdorff distance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Sheet1!$A$2:$A$21</c:f>
              <c:numCache>
                <c:formatCode>General</c:formatCode>
                <c:ptCount val="2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  <c:pt idx="10">
                  <c:v>60</c:v>
                </c:pt>
                <c:pt idx="11">
                  <c:v>70</c:v>
                </c:pt>
                <c:pt idx="12">
                  <c:v>80</c:v>
                </c:pt>
                <c:pt idx="13">
                  <c:v>90</c:v>
                </c:pt>
                <c:pt idx="14">
                  <c:v>100</c:v>
                </c:pt>
                <c:pt idx="15">
                  <c:v>120</c:v>
                </c:pt>
                <c:pt idx="16">
                  <c:v>140</c:v>
                </c:pt>
                <c:pt idx="17">
                  <c:v>160</c:v>
                </c:pt>
                <c:pt idx="18">
                  <c:v>180</c:v>
                </c:pt>
                <c:pt idx="19">
                  <c:v>200</c:v>
                </c:pt>
              </c:numCache>
            </c:numRef>
          </c:xVal>
          <c:yVal>
            <c:numRef>
              <c:f>Sheet1!$L$2:$L$21</c:f>
              <c:numCache>
                <c:formatCode>General</c:formatCode>
                <c:ptCount val="20"/>
                <c:pt idx="0">
                  <c:v>5.8874588658E-2</c:v>
                </c:pt>
                <c:pt idx="1">
                  <c:v>0.22222177777800001</c:v>
                </c:pt>
                <c:pt idx="2">
                  <c:v>0.35314280323199998</c:v>
                </c:pt>
                <c:pt idx="3">
                  <c:v>0.45618823692799998</c:v>
                </c:pt>
                <c:pt idx="4">
                  <c:v>0.53974803207199995</c:v>
                </c:pt>
                <c:pt idx="5">
                  <c:v>0.69519500295199999</c:v>
                </c:pt>
                <c:pt idx="6">
                  <c:v>0.80521095628799999</c:v>
                </c:pt>
                <c:pt idx="7">
                  <c:v>0.955586766152</c:v>
                </c:pt>
                <c:pt idx="8">
                  <c:v>1.0569009738320001</c:v>
                </c:pt>
                <c:pt idx="9">
                  <c:v>1.1316126888019999</c:v>
                </c:pt>
                <c:pt idx="10">
                  <c:v>1.189878340658</c:v>
                </c:pt>
                <c:pt idx="11">
                  <c:v>1.23708585125</c:v>
                </c:pt>
                <c:pt idx="12">
                  <c:v>1.276415313282</c:v>
                </c:pt>
                <c:pt idx="13">
                  <c:v>1.3098844224499999</c:v>
                </c:pt>
                <c:pt idx="14">
                  <c:v>1.3388435702479999</c:v>
                </c:pt>
                <c:pt idx="15">
                  <c:v>1.3867719184080001</c:v>
                </c:pt>
                <c:pt idx="16">
                  <c:v>1.4251514323279999</c:v>
                </c:pt>
                <c:pt idx="17">
                  <c:v>1.4568220817999999</c:v>
                </c:pt>
                <c:pt idx="18">
                  <c:v>1.483568580722</c:v>
                </c:pt>
                <c:pt idx="19">
                  <c:v>1.506563309448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2B-4944-B98D-721D5AAFA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089424"/>
        <c:axId val="1308106224"/>
      </c:scatterChart>
      <c:valAx>
        <c:axId val="1308089424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Dimension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08106224"/>
        <c:crosses val="autoZero"/>
        <c:crossBetween val="midCat"/>
        <c:majorUnit val="20"/>
      </c:valAx>
      <c:valAx>
        <c:axId val="13081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squared error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0808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80962</xdr:colOff>
      <xdr:row>6</xdr:row>
      <xdr:rowOff>109536</xdr:rowOff>
    </xdr:from>
    <xdr:to>
      <xdr:col>22</xdr:col>
      <xdr:colOff>112059</xdr:colOff>
      <xdr:row>21</xdr:row>
      <xdr:rowOff>56029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383802</xdr:colOff>
      <xdr:row>22</xdr:row>
      <xdr:rowOff>9525</xdr:rowOff>
    </xdr:from>
    <xdr:to>
      <xdr:col>9</xdr:col>
      <xdr:colOff>445433</xdr:colOff>
      <xdr:row>38</xdr:row>
      <xdr:rowOff>141754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F10220-D94D-0520-2CE6-278C1F164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zoomScaleNormal="100" workbookViewId="0">
      <selection activeCell="M21" sqref="M21"/>
    </sheetView>
  </sheetViews>
  <sheetFormatPr defaultColWidth="9" defaultRowHeight="14.4"/>
  <cols>
    <col min="11" max="11" width="25.88671875" customWidth="1"/>
    <col min="12" max="12" width="11.33203125" customWidth="1"/>
  </cols>
  <sheetData>
    <row r="1" spans="1:13" ht="67.2">
      <c r="A1" s="10" t="s">
        <v>7</v>
      </c>
      <c r="B1" s="1" t="s">
        <v>0</v>
      </c>
      <c r="C1" s="11" t="s">
        <v>9</v>
      </c>
      <c r="D1" s="11" t="s">
        <v>8</v>
      </c>
      <c r="E1" s="1" t="s">
        <v>10</v>
      </c>
      <c r="F1" s="1" t="s">
        <v>1</v>
      </c>
      <c r="G1" s="1" t="s">
        <v>2</v>
      </c>
      <c r="H1" s="2" t="s">
        <v>3</v>
      </c>
      <c r="K1" s="9" t="s">
        <v>5</v>
      </c>
      <c r="L1" s="9" t="s">
        <v>6</v>
      </c>
      <c r="M1" s="9" t="s">
        <v>11</v>
      </c>
    </row>
    <row r="2" spans="1:13" ht="16.8">
      <c r="A2" s="3">
        <v>2</v>
      </c>
      <c r="B2" s="4">
        <v>0.25280399999999997</v>
      </c>
      <c r="C2" s="4">
        <v>0.111108</v>
      </c>
      <c r="D2" s="4">
        <v>0.25280399999999997</v>
      </c>
      <c r="E2" s="4">
        <v>0.171573</v>
      </c>
      <c r="F2" s="4">
        <v>0.26878200000000002</v>
      </c>
      <c r="G2" s="4">
        <v>0.26878200000000002</v>
      </c>
      <c r="H2" s="5" t="s">
        <v>4</v>
      </c>
      <c r="K2">
        <f>C2^2+D2^2</f>
        <v>7.6254850080000006E-2</v>
      </c>
      <c r="L2">
        <f>2*E2^2</f>
        <v>5.8874588658E-2</v>
      </c>
      <c r="M2">
        <f>(1-SQRT(A2))^2/(A2+1)</f>
        <v>5.7190958417936665E-2</v>
      </c>
    </row>
    <row r="3" spans="1:13" ht="16.8">
      <c r="A3" s="3">
        <v>4</v>
      </c>
      <c r="B3" s="4">
        <v>0.469246</v>
      </c>
      <c r="C3" s="4">
        <v>0.13014700000000001</v>
      </c>
      <c r="D3" s="4">
        <v>0.469246</v>
      </c>
      <c r="E3" s="4">
        <v>0.33333299999999999</v>
      </c>
      <c r="F3" s="4">
        <v>3.4026000000000001E-2</v>
      </c>
      <c r="G3" s="4">
        <v>3.4026000000000001E-2</v>
      </c>
      <c r="H3" s="5" t="s">
        <v>4</v>
      </c>
      <c r="K3">
        <f t="shared" ref="K3:K21" si="0">C3^2+D3^2</f>
        <v>0.23713005012499999</v>
      </c>
      <c r="L3">
        <f t="shared" ref="L3:L21" si="1">2*E3^2</f>
        <v>0.22222177777800001</v>
      </c>
      <c r="M3">
        <f t="shared" ref="M3:M21" si="2">(1-SQRT(A3))^2/(A3+1)</f>
        <v>0.2</v>
      </c>
    </row>
    <row r="4" spans="1:13" ht="16.8">
      <c r="A4" s="3">
        <v>6</v>
      </c>
      <c r="B4" s="4">
        <v>0.57342700000000002</v>
      </c>
      <c r="C4" s="4">
        <v>0.139067</v>
      </c>
      <c r="D4" s="4">
        <v>0.57342700000000002</v>
      </c>
      <c r="E4" s="4">
        <v>0.42020400000000002</v>
      </c>
      <c r="F4" s="4">
        <v>3.5705000000000001E-2</v>
      </c>
      <c r="G4" s="4">
        <v>3.5705000000000001E-2</v>
      </c>
      <c r="H4" s="5" t="s">
        <v>4</v>
      </c>
      <c r="K4">
        <f t="shared" si="0"/>
        <v>0.348158154818</v>
      </c>
      <c r="L4">
        <f t="shared" si="1"/>
        <v>0.35314280323199998</v>
      </c>
      <c r="M4">
        <f t="shared" si="2"/>
        <v>0.30014578777623474</v>
      </c>
    </row>
    <row r="5" spans="1:13" ht="16.8">
      <c r="A5" s="3">
        <v>8</v>
      </c>
      <c r="B5" s="4">
        <v>0.63287300000000002</v>
      </c>
      <c r="C5" s="4">
        <v>0.16411100000000001</v>
      </c>
      <c r="D5" s="4">
        <v>0.63287300000000002</v>
      </c>
      <c r="E5" s="4">
        <v>0.47759200000000002</v>
      </c>
      <c r="F5" s="4">
        <v>3.8245000000000001E-2</v>
      </c>
      <c r="G5" s="4">
        <v>3.8245000000000001E-2</v>
      </c>
      <c r="H5" s="5" t="s">
        <v>4</v>
      </c>
      <c r="K5">
        <f t="shared" si="0"/>
        <v>0.42746065444999998</v>
      </c>
      <c r="L5">
        <f t="shared" si="1"/>
        <v>0.45618823692799998</v>
      </c>
      <c r="M5">
        <f t="shared" si="2"/>
        <v>0.37146063894529113</v>
      </c>
    </row>
    <row r="6" spans="1:13" ht="16.8">
      <c r="A6" s="3">
        <v>10</v>
      </c>
      <c r="B6" s="4">
        <v>0.66134300000000001</v>
      </c>
      <c r="C6" s="4">
        <v>0.16698299999999999</v>
      </c>
      <c r="D6" s="4">
        <v>0.66134300000000001</v>
      </c>
      <c r="E6" s="4">
        <v>0.51949400000000001</v>
      </c>
      <c r="F6" s="4">
        <v>3.4771999999999997E-2</v>
      </c>
      <c r="G6" s="4">
        <v>3.4771999999999997E-2</v>
      </c>
      <c r="H6" s="5" t="s">
        <v>4</v>
      </c>
      <c r="K6">
        <f t="shared" si="0"/>
        <v>0.46525788593799999</v>
      </c>
      <c r="L6">
        <f t="shared" si="1"/>
        <v>0.53974803207199995</v>
      </c>
      <c r="M6">
        <f t="shared" si="2"/>
        <v>0.42504042542393106</v>
      </c>
    </row>
    <row r="7" spans="1:13" ht="16.8">
      <c r="A7" s="3">
        <v>15</v>
      </c>
      <c r="B7" s="4">
        <v>0.73886700000000005</v>
      </c>
      <c r="C7" s="4">
        <v>0.17213200000000001</v>
      </c>
      <c r="D7" s="4">
        <v>0.73886700000000005</v>
      </c>
      <c r="E7" s="4">
        <v>0.58957400000000004</v>
      </c>
      <c r="F7" s="4">
        <v>4.5976000000000003E-2</v>
      </c>
      <c r="G7" s="4">
        <v>4.5976000000000003E-2</v>
      </c>
      <c r="H7" s="5" t="s">
        <v>4</v>
      </c>
      <c r="K7">
        <f t="shared" si="0"/>
        <v>0.57555386911299999</v>
      </c>
      <c r="L7">
        <f t="shared" si="1"/>
        <v>0.69519500295199999</v>
      </c>
      <c r="M7">
        <f t="shared" si="2"/>
        <v>0.51587708172407298</v>
      </c>
    </row>
    <row r="8" spans="1:13" ht="16.8">
      <c r="A8" s="3">
        <v>20</v>
      </c>
      <c r="B8" s="4">
        <v>0.77451400000000004</v>
      </c>
      <c r="C8" s="4">
        <v>0.171734</v>
      </c>
      <c r="D8" s="4">
        <v>0.77451400000000004</v>
      </c>
      <c r="E8" s="4">
        <v>0.63451199999999996</v>
      </c>
      <c r="F8" s="4">
        <v>4.6875E-2</v>
      </c>
      <c r="G8" s="4">
        <v>4.6875E-2</v>
      </c>
      <c r="H8" s="5" t="s">
        <v>4</v>
      </c>
      <c r="K8">
        <f t="shared" si="0"/>
        <v>0.62936450295199997</v>
      </c>
      <c r="L8">
        <f t="shared" si="1"/>
        <v>0.80521095628799999</v>
      </c>
      <c r="M8">
        <f t="shared" si="2"/>
        <v>0.57408229000004007</v>
      </c>
    </row>
    <row r="9" spans="1:13" ht="16.8">
      <c r="A9" s="3">
        <v>30</v>
      </c>
      <c r="B9" s="4">
        <v>0.82314299999999996</v>
      </c>
      <c r="C9" s="4">
        <v>0.19422400000000001</v>
      </c>
      <c r="D9" s="4">
        <v>0.82314299999999996</v>
      </c>
      <c r="E9" s="4">
        <v>0.69122600000000001</v>
      </c>
      <c r="F9" s="4">
        <v>7.6435000000000003E-2</v>
      </c>
      <c r="G9" s="4">
        <v>7.6435000000000003E-2</v>
      </c>
      <c r="H9" s="5" t="s">
        <v>4</v>
      </c>
      <c r="K9">
        <f t="shared" si="0"/>
        <v>0.71528736062499998</v>
      </c>
      <c r="L9">
        <f t="shared" si="1"/>
        <v>0.955586766152</v>
      </c>
      <c r="M9">
        <f t="shared" si="2"/>
        <v>0.64663060806118322</v>
      </c>
    </row>
    <row r="10" spans="1:13" ht="16.8">
      <c r="A10" s="3">
        <v>40</v>
      </c>
      <c r="B10" s="4">
        <v>0.85612299999999997</v>
      </c>
      <c r="C10" s="4">
        <v>0.20876500000000001</v>
      </c>
      <c r="D10" s="4">
        <v>0.85612299999999997</v>
      </c>
      <c r="E10" s="4">
        <v>0.72694599999999998</v>
      </c>
      <c r="F10" s="4">
        <v>0.13156999999999999</v>
      </c>
      <c r="G10" s="4">
        <v>0.13156999999999999</v>
      </c>
      <c r="H10" s="5" t="s">
        <v>4</v>
      </c>
      <c r="K10">
        <f t="shared" si="0"/>
        <v>0.77652941635399997</v>
      </c>
      <c r="L10">
        <f t="shared" si="1"/>
        <v>1.0569009738320001</v>
      </c>
      <c r="M10">
        <f t="shared" si="2"/>
        <v>0.69148510632503624</v>
      </c>
    </row>
    <row r="11" spans="1:13" ht="16.8">
      <c r="A11" s="3">
        <v>50</v>
      </c>
      <c r="B11" s="4">
        <v>0.87370499999999995</v>
      </c>
      <c r="C11" s="4">
        <v>0.27025700000000002</v>
      </c>
      <c r="D11" s="4">
        <v>0.87370499999999995</v>
      </c>
      <c r="E11" s="4">
        <v>0.75220100000000001</v>
      </c>
      <c r="F11" s="4">
        <v>0.25167899999999999</v>
      </c>
      <c r="G11" s="4">
        <v>0.25167899999999999</v>
      </c>
      <c r="H11" s="5" t="s">
        <v>4</v>
      </c>
      <c r="K11">
        <f t="shared" si="0"/>
        <v>0.83639927307399997</v>
      </c>
      <c r="L11">
        <f t="shared" si="1"/>
        <v>1.1316126888019999</v>
      </c>
      <c r="M11">
        <f t="shared" si="2"/>
        <v>0.72270322306409918</v>
      </c>
    </row>
    <row r="12" spans="1:13" ht="16.8">
      <c r="A12" s="3">
        <v>60</v>
      </c>
      <c r="B12" s="4">
        <v>0.89363099999999995</v>
      </c>
      <c r="C12" s="4">
        <v>0.305533</v>
      </c>
      <c r="D12" s="4">
        <v>0.89363099999999995</v>
      </c>
      <c r="E12" s="4">
        <v>0.77132299999999998</v>
      </c>
      <c r="F12" s="4">
        <v>0.27119300000000002</v>
      </c>
      <c r="G12" s="4">
        <v>0.27119300000000002</v>
      </c>
      <c r="H12" s="5" t="s">
        <v>4</v>
      </c>
      <c r="K12">
        <f t="shared" si="0"/>
        <v>0.89192677825</v>
      </c>
      <c r="L12">
        <f t="shared" si="1"/>
        <v>1.189878340658</v>
      </c>
      <c r="M12">
        <f t="shared" si="2"/>
        <v>0.74603387893721862</v>
      </c>
    </row>
    <row r="13" spans="1:13" ht="16.8">
      <c r="A13" s="3">
        <v>70</v>
      </c>
      <c r="B13" s="4">
        <v>0.90480300000000002</v>
      </c>
      <c r="C13" s="4">
        <v>0.50784200000000002</v>
      </c>
      <c r="D13" s="4">
        <v>0.90480300000000002</v>
      </c>
      <c r="E13" s="4">
        <v>0.78647500000000004</v>
      </c>
      <c r="F13" s="4">
        <v>0.57561899999999999</v>
      </c>
      <c r="G13" s="4">
        <v>0.57561899999999999</v>
      </c>
      <c r="H13" s="5" t="s">
        <v>4</v>
      </c>
      <c r="K13">
        <f t="shared" si="0"/>
        <v>1.076571965773</v>
      </c>
      <c r="L13">
        <f t="shared" si="1"/>
        <v>1.23708585125</v>
      </c>
      <c r="M13">
        <f t="shared" si="2"/>
        <v>0.76432111928617597</v>
      </c>
    </row>
    <row r="14" spans="1:13" ht="16.8">
      <c r="A14" s="3">
        <v>80</v>
      </c>
      <c r="B14" s="4">
        <v>0.91591800000000001</v>
      </c>
      <c r="C14" s="4">
        <v>0.52732199999999996</v>
      </c>
      <c r="D14" s="4">
        <v>0.91591800000000001</v>
      </c>
      <c r="E14" s="4">
        <v>0.79887900000000001</v>
      </c>
      <c r="F14" s="4">
        <v>0.58649200000000001</v>
      </c>
      <c r="G14" s="4">
        <v>0.58649200000000001</v>
      </c>
      <c r="H14" s="5" t="s">
        <v>4</v>
      </c>
      <c r="K14">
        <f t="shared" si="0"/>
        <v>1.116974274408</v>
      </c>
      <c r="L14">
        <f t="shared" si="1"/>
        <v>1.276415313282</v>
      </c>
      <c r="M14">
        <f t="shared" si="2"/>
        <v>0.77915378000002089</v>
      </c>
    </row>
    <row r="15" spans="1:13" ht="16.8">
      <c r="A15" s="3">
        <v>90</v>
      </c>
      <c r="B15" s="4">
        <v>0.92514700000000005</v>
      </c>
      <c r="C15" s="4">
        <v>0.58714900000000003</v>
      </c>
      <c r="D15" s="4">
        <v>0.92514700000000005</v>
      </c>
      <c r="E15" s="4">
        <v>0.80928500000000003</v>
      </c>
      <c r="F15" s="4">
        <v>0.69772000000000001</v>
      </c>
      <c r="G15" s="4">
        <v>0.69772000000000001</v>
      </c>
      <c r="H15" s="5" t="s">
        <v>4</v>
      </c>
      <c r="K15">
        <f t="shared" si="0"/>
        <v>1.2006409198100001</v>
      </c>
      <c r="L15">
        <f t="shared" si="1"/>
        <v>1.3098844224499999</v>
      </c>
      <c r="M15">
        <f t="shared" si="2"/>
        <v>0.79149817625263441</v>
      </c>
    </row>
    <row r="16" spans="1:13" ht="16.8">
      <c r="A16" s="3">
        <v>100</v>
      </c>
      <c r="B16" s="4">
        <v>0.93141099999999999</v>
      </c>
      <c r="C16" s="4">
        <v>0.65915900000000005</v>
      </c>
      <c r="D16" s="4">
        <v>0.93141099999999999</v>
      </c>
      <c r="E16" s="4">
        <v>0.81818199999999996</v>
      </c>
      <c r="F16" s="4">
        <v>0.91746000000000005</v>
      </c>
      <c r="G16" s="4">
        <v>0.91746000000000005</v>
      </c>
      <c r="H16" s="5" t="s">
        <v>4</v>
      </c>
      <c r="K16">
        <f t="shared" si="0"/>
        <v>1.302017038202</v>
      </c>
      <c r="L16">
        <f t="shared" si="1"/>
        <v>1.3388435702479999</v>
      </c>
      <c r="M16">
        <f t="shared" si="2"/>
        <v>0.80198019801980203</v>
      </c>
    </row>
    <row r="17" spans="1:13" ht="16.8">
      <c r="A17" s="3">
        <v>120</v>
      </c>
      <c r="B17" s="4">
        <v>0.93741399999999997</v>
      </c>
      <c r="C17" s="4">
        <v>0.70571600000000001</v>
      </c>
      <c r="D17" s="4">
        <v>0.93741399999999997</v>
      </c>
      <c r="E17" s="4">
        <v>0.83269800000000005</v>
      </c>
      <c r="F17" s="4">
        <v>1.5634300000000001</v>
      </c>
      <c r="G17" s="4">
        <v>1.5634300000000001</v>
      </c>
      <c r="H17" s="5" t="s">
        <v>4</v>
      </c>
      <c r="K17">
        <f t="shared" si="0"/>
        <v>1.376780080052</v>
      </c>
      <c r="L17">
        <f t="shared" si="1"/>
        <v>1.3867719184080001</v>
      </c>
      <c r="M17">
        <f t="shared" si="2"/>
        <v>0.81893469173382938</v>
      </c>
    </row>
    <row r="18" spans="1:13" ht="16.8">
      <c r="A18" s="3">
        <v>140</v>
      </c>
      <c r="B18" s="4">
        <v>0.940859</v>
      </c>
      <c r="C18" s="4">
        <v>0.67064999999999997</v>
      </c>
      <c r="D18" s="4">
        <v>0.940859</v>
      </c>
      <c r="E18" s="4">
        <v>0.84414199999999995</v>
      </c>
      <c r="F18" s="4">
        <v>2.1964380000000001</v>
      </c>
      <c r="G18" s="4">
        <v>2.1964380000000001</v>
      </c>
      <c r="H18" s="5" t="s">
        <v>4</v>
      </c>
      <c r="K18">
        <f t="shared" si="0"/>
        <v>1.334987080381</v>
      </c>
      <c r="L18">
        <f t="shared" si="1"/>
        <v>1.4251514323279999</v>
      </c>
      <c r="M18">
        <f t="shared" si="2"/>
        <v>0.83216794941561378</v>
      </c>
    </row>
    <row r="19" spans="1:13" ht="16.8">
      <c r="A19" s="3">
        <v>160</v>
      </c>
      <c r="B19" s="4">
        <v>0.945635</v>
      </c>
      <c r="C19" s="4">
        <v>0.69637800000000005</v>
      </c>
      <c r="D19" s="4">
        <v>0.945635</v>
      </c>
      <c r="E19" s="4">
        <v>0.85346999999999995</v>
      </c>
      <c r="F19" s="4">
        <v>3.4577819999999999</v>
      </c>
      <c r="G19" s="4">
        <v>3.4577819999999999</v>
      </c>
      <c r="H19" s="5" t="s">
        <v>4</v>
      </c>
      <c r="K19">
        <f t="shared" si="0"/>
        <v>1.3791678721089999</v>
      </c>
      <c r="L19">
        <f t="shared" si="1"/>
        <v>1.4568220817999999</v>
      </c>
      <c r="M19">
        <f t="shared" si="2"/>
        <v>0.84286819079908681</v>
      </c>
    </row>
    <row r="20" spans="1:13" ht="16.8">
      <c r="A20" s="3">
        <v>180</v>
      </c>
      <c r="B20" s="4">
        <v>0.949187</v>
      </c>
      <c r="C20" s="4">
        <v>0.75686399999999998</v>
      </c>
      <c r="D20" s="4">
        <v>0.949187</v>
      </c>
      <c r="E20" s="4">
        <v>0.86126899999999995</v>
      </c>
      <c r="F20" s="4">
        <v>8.6255539999999993</v>
      </c>
      <c r="G20" s="4">
        <v>8.6255539999999993</v>
      </c>
      <c r="H20" s="5" t="s">
        <v>4</v>
      </c>
      <c r="K20">
        <f t="shared" si="0"/>
        <v>1.4737990754650001</v>
      </c>
      <c r="L20">
        <f t="shared" si="1"/>
        <v>1.483568580722</v>
      </c>
      <c r="M20">
        <f t="shared" si="2"/>
        <v>0.85175239928178192</v>
      </c>
    </row>
    <row r="21" spans="1:13" ht="16.8">
      <c r="A21" s="6">
        <v>200</v>
      </c>
      <c r="B21" s="7">
        <v>0.95030700000000001</v>
      </c>
      <c r="C21" s="7">
        <v>0.73757700000000004</v>
      </c>
      <c r="D21" s="7">
        <v>0.95030700000000001</v>
      </c>
      <c r="E21" s="7">
        <v>0.86791799999999997</v>
      </c>
      <c r="F21" s="7">
        <v>28.943145000000001</v>
      </c>
      <c r="G21" s="7">
        <v>28.943145000000001</v>
      </c>
      <c r="H21" s="8" t="s">
        <v>4</v>
      </c>
      <c r="K21">
        <f t="shared" si="0"/>
        <v>1.4471032251780001</v>
      </c>
      <c r="L21">
        <f t="shared" si="1"/>
        <v>1.506563309448</v>
      </c>
      <c r="M21">
        <f>(1-SQRT(A21))^2/(A21+1)</f>
        <v>0.85928223259969216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19" sqref="E19"/>
    </sheetView>
  </sheetViews>
  <sheetFormatPr defaultColWidth="9" defaultRowHeight="14.4"/>
  <cols>
    <col min="3" max="3" width="11.88671875" bestFit="1" customWidth="1"/>
    <col min="5" max="5" width="11.88671875" bestFit="1" customWidth="1"/>
  </cols>
  <sheetData>
    <row r="1" spans="1:5" ht="29.4" thickBot="1">
      <c r="A1" s="10" t="s">
        <v>7</v>
      </c>
      <c r="B1" s="9" t="s">
        <v>12</v>
      </c>
      <c r="C1" s="9" t="s">
        <v>14</v>
      </c>
      <c r="D1" s="9" t="s">
        <v>13</v>
      </c>
      <c r="E1" s="9" t="s">
        <v>15</v>
      </c>
    </row>
    <row r="2" spans="1:5" ht="17.399999999999999" thickBot="1">
      <c r="A2" s="3">
        <v>2</v>
      </c>
    </row>
    <row r="3" spans="1:5" ht="17.399999999999999" thickBot="1">
      <c r="A3" s="3">
        <v>4</v>
      </c>
    </row>
    <row r="4" spans="1:5" ht="17.399999999999999" thickBot="1">
      <c r="A4" s="3">
        <v>6</v>
      </c>
    </row>
    <row r="5" spans="1:5" ht="17.399999999999999" thickBot="1">
      <c r="A5" s="3">
        <v>8</v>
      </c>
    </row>
    <row r="6" spans="1:5" ht="17.399999999999999" thickBot="1">
      <c r="A6" s="3">
        <v>10</v>
      </c>
    </row>
    <row r="7" spans="1:5" ht="17.399999999999999" thickBot="1">
      <c r="A7" s="3">
        <v>15</v>
      </c>
    </row>
    <row r="8" spans="1:5" ht="17.399999999999999" thickBot="1">
      <c r="A8" s="3">
        <v>20</v>
      </c>
    </row>
    <row r="9" spans="1:5" ht="17.399999999999999" thickBot="1">
      <c r="A9" s="3">
        <v>30</v>
      </c>
    </row>
    <row r="10" spans="1:5" ht="17.399999999999999" thickBot="1">
      <c r="A10" s="3">
        <v>40</v>
      </c>
    </row>
    <row r="11" spans="1:5" ht="17.399999999999999" thickBot="1">
      <c r="A11" s="3">
        <v>50</v>
      </c>
    </row>
    <row r="12" spans="1:5" ht="17.399999999999999" thickBot="1">
      <c r="A12" s="3">
        <v>60</v>
      </c>
    </row>
    <row r="13" spans="1:5" ht="17.399999999999999" thickBot="1">
      <c r="A13" s="3">
        <v>70</v>
      </c>
    </row>
    <row r="14" spans="1:5" ht="17.399999999999999" thickBot="1">
      <c r="A14" s="3">
        <v>80</v>
      </c>
      <c r="C14" s="12">
        <v>0.01</v>
      </c>
      <c r="E14" s="12">
        <v>0.3</v>
      </c>
    </row>
    <row r="15" spans="1:5" ht="17.399999999999999" thickBot="1">
      <c r="A15" s="3">
        <v>90</v>
      </c>
      <c r="C15" s="12">
        <v>0.01</v>
      </c>
      <c r="E15" s="12">
        <v>0.3</v>
      </c>
    </row>
    <row r="16" spans="1:5" ht="17.399999999999999" thickBot="1">
      <c r="A16" s="3">
        <v>100</v>
      </c>
      <c r="B16">
        <v>200</v>
      </c>
      <c r="C16" s="12">
        <v>0.15</v>
      </c>
      <c r="E16" s="12">
        <v>0.5</v>
      </c>
    </row>
    <row r="17" spans="1:5" ht="17.399999999999999" thickBot="1">
      <c r="A17" s="3">
        <v>120</v>
      </c>
      <c r="C17" s="12">
        <v>0.2</v>
      </c>
      <c r="E17" s="12">
        <v>0.6</v>
      </c>
    </row>
    <row r="18" spans="1:5" ht="17.399999999999999" thickBot="1">
      <c r="A18" s="3">
        <v>140</v>
      </c>
      <c r="C18" s="13">
        <v>0.03</v>
      </c>
      <c r="E18" s="13">
        <v>0.04</v>
      </c>
    </row>
    <row r="19" spans="1:5" ht="17.399999999999999" thickBot="1">
      <c r="A19" s="3">
        <v>160</v>
      </c>
      <c r="C19" s="13">
        <v>0.03</v>
      </c>
      <c r="E19" s="12">
        <v>0.5</v>
      </c>
    </row>
    <row r="20" spans="1:5" ht="17.399999999999999" thickBot="1">
      <c r="A20" s="3">
        <v>180</v>
      </c>
      <c r="B20" s="14">
        <v>200</v>
      </c>
      <c r="C20" s="13">
        <v>0.03</v>
      </c>
      <c r="D20" s="14">
        <v>5000</v>
      </c>
      <c r="E20" s="12">
        <v>0.5</v>
      </c>
    </row>
    <row r="21" spans="1:5" ht="16.8">
      <c r="A21" s="6">
        <v>200</v>
      </c>
      <c r="B21" s="14">
        <v>200</v>
      </c>
      <c r="C21" s="13">
        <v>0.03</v>
      </c>
      <c r="D21" s="14">
        <v>5000</v>
      </c>
      <c r="E21" s="12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PolyFormer Project</dc:creator>
  <cp:lastModifiedBy>PolyFormer Project</cp:lastModifiedBy>
  <dcterms:created xsi:type="dcterms:W3CDTF">2023-05-12T11:15:00Z</dcterms:created>
  <dcterms:modified xsi:type="dcterms:W3CDTF">2025-11-06T07:48:41Z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2E1440F309974A92BC25B4DCB4BDA1E8_12</vt:lpwstr>
  </property>
</Properties>
</file>