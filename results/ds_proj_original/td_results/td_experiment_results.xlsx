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38" documentId="11_2ECF5ED56840CD5BC4A7D16680FA5189C0468D61" xr6:coauthVersionLast="47" xr6:coauthVersionMax="47" xr10:uidLastSave="{4377C456-7BA1-454F-9E54-E7BD74BD040E}"/>
  <bookViews>
    <workbookView xWindow="4260" yWindow="3588" windowWidth="17448" windowHeight="9732" xr2:uid="{00000000-000D-0000-FFFF-FFFF00000000}"/>
  </bookViews>
  <sheets>
    <sheet name="ds_case_parameters" sheetId="1" r:id="rId1"/>
    <sheet name="pretrainnet" sheetId="2" r:id="rId2"/>
    <sheet name="fullnet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3" i="1"/>
  <c r="J4" i="1"/>
  <c r="J5" i="1"/>
  <c r="J6" i="1"/>
  <c r="J7" i="1"/>
  <c r="J8" i="1"/>
  <c r="J2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<sst xmlns="http://schemas.openxmlformats.org/spreadsheetml/2006/main" count="242" uniqueCount="64">
  <si>
    <t>casename</t>
  </si>
  <si>
    <t>PMW QMVAR</t>
  </si>
  <si>
    <t>lr</t>
  </si>
  <si>
    <t>rate</t>
  </si>
  <si>
    <t>full_lr</t>
  </si>
  <si>
    <t>case10ba_ds</t>
  </si>
  <si>
    <t>12.368  4.186</t>
  </si>
  <si>
    <t>0.1/P_rated</t>
  </si>
  <si>
    <t>0.00005/P_rated</t>
  </si>
  <si>
    <t>case17me_ds</t>
  </si>
  <si>
    <t>13.88  5.64</t>
  </si>
  <si>
    <t>case33bw_ds</t>
  </si>
  <si>
    <t>3.715 2.3</t>
  </si>
  <si>
    <t>case51ga_ds</t>
  </si>
  <si>
    <t>2.463 1.569</t>
  </si>
  <si>
    <t>case74_ds</t>
  </si>
  <si>
    <t>6.617 4.447</t>
  </si>
  <si>
    <t>case118zh_ds</t>
  </si>
  <si>
    <t>22.70972  17.041068</t>
  </si>
  <si>
    <t>case136ma_ds</t>
  </si>
  <si>
    <t>18.313807  7.932568</t>
  </si>
  <si>
    <t>case533mt_hi_ds</t>
  </si>
  <si>
    <t>14.87354233  0.14873611</t>
  </si>
  <si>
    <t>0.00002/P_rated</t>
  </si>
  <si>
    <t>case36real_3phase_ds</t>
  </si>
  <si>
    <t>tscasename</t>
  </si>
  <si>
    <t>num_ds</t>
  </si>
  <si>
    <t>dscasename</t>
  </si>
  <si>
    <t>base_obj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</si>
  <si>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</si>
  <si>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</si>
  <si>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</si>
  <si>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</si>
  <si>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</si>
  <si>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</si>
  <si>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</si>
  <si>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full_ncons</t>
  </si>
  <si>
    <t>full_nvars</t>
  </si>
  <si>
    <t>ipopt_obj</t>
  </si>
  <si>
    <t>ipopt_peak_memory_MB</t>
  </si>
  <si>
    <t>ipopt_time</t>
  </si>
  <si>
    <t>case4gs_ts</t>
  </si>
  <si>
    <t>case118_ts</t>
  </si>
  <si>
    <t>case300_ts</t>
  </si>
  <si>
    <t>number of cons</t>
  </si>
  <si>
    <t>case4gs</t>
  </si>
  <si>
    <t>case118</t>
  </si>
  <si>
    <t>case300</t>
  </si>
  <si>
    <t>apx model</t>
  </si>
  <si>
    <t>full model</t>
  </si>
  <si>
    <t>case10ba</t>
  </si>
  <si>
    <t>case17me</t>
  </si>
  <si>
    <t>case33bw</t>
  </si>
  <si>
    <t>case51ga</t>
  </si>
  <si>
    <t>case74</t>
  </si>
  <si>
    <t>case118zh</t>
  </si>
  <si>
    <t>case136ma</t>
  </si>
  <si>
    <t>case533mt_hi</t>
  </si>
  <si>
    <t>number of vars</t>
  </si>
  <si>
    <t>case36real_3phase_ds</t>
    <phoneticPr fontId="7" type="noConversion"/>
  </si>
  <si>
    <t>0.2/P_rated</t>
    <phoneticPr fontId="7" type="noConversion"/>
  </si>
  <si>
    <t>P_rated</t>
    <phoneticPr fontId="7" type="noConversion"/>
  </si>
  <si>
    <t>pre_lr</t>
    <phoneticPr fontId="7" type="noConversion"/>
  </si>
  <si>
    <t>full_lr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</si>
</sst>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SimSun"/>
      <charset val="134"/>
      <scheme val="minor"/>
    </font>
    <font>
      <b/>
      <sz val="11"/>
      <name val="SimSun"/>
      <charset val="134"/>
      <scheme val="minor"/>
    </font>
    <font>
      <sz val="9.8000000000000007"/>
      <color rgb="FFBCBEC4"/>
      <name val="Courier New"/>
      <family val="3"/>
    </font>
    <font>
      <sz val="9.8000000000000007"/>
      <color rgb="FF7A7E85"/>
      <name val="Courier New"/>
      <family val="3"/>
    </font>
    <font>
      <sz val="9.8000000000000007"/>
      <color rgb="FF2AACB8"/>
      <name val="Courier New"/>
      <family val="3"/>
    </font>
    <font>
      <sz val="12"/>
      <color rgb="FFBCBEC4"/>
      <name val="JetBrains Mono"/>
      <family val="1"/>
    </font>
    <font>
      <sz val="11"/>
      <color theme="1"/>
      <name val="SimSun"/>
      <family val="3"/>
      <charset val="134"/>
      <scheme val="minor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3" fillId="0" borderId="0" xfId="0" applyNumberFormat="1" applyFont="1">
      <alignment vertical="center"/>
    </xf>
    <xf numFmtId="11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11" fontId="6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B1" zoomScale="145" zoomScaleNormal="145" workbookViewId="0">
      <selection activeCell="K7" sqref="K7"/>
    </sheetView>
  </sheetViews>
  <sheetFormatPr defaultColWidth="9" defaultRowHeight="14.4"/>
  <cols>
    <col min="1" max="1" width="16.109375" customWidth="1"/>
    <col min="4" max="4" width="15.5546875" customWidth="1"/>
    <col min="5" max="5" width="9.5546875" customWidth="1"/>
    <col min="6" max="6" width="10"/>
    <col min="7" max="8" width="9.88671875" bestFit="1" customWidth="1"/>
    <col min="9" max="9" width="12.109375" customWidth="1"/>
    <col min="10" max="10" width="9.88671875" bestFit="1" customWidth="1"/>
  </cols>
  <sheetData>
    <row r="1" spans="1:10">
      <c r="A1" t="s">
        <v>0</v>
      </c>
      <c r="B1" t="s">
        <v>1</v>
      </c>
      <c r="D1" t="s">
        <v>2</v>
      </c>
      <c r="E1" t="s">
        <v>3</v>
      </c>
      <c r="F1" t="s">
        <v>4</v>
      </c>
      <c r="H1" s="20" t="s">
        <v>61</v>
      </c>
      <c r="I1" s="20" t="s">
        <v>62</v>
      </c>
      <c r="J1" s="20" t="s">
        <v>63</v>
      </c>
    </row>
    <row r="2" spans="1:10">
      <c r="A2" s="7" t="s">
        <v>5</v>
      </c>
      <c r="B2" t="s">
        <v>6</v>
      </c>
      <c r="D2" s="8" t="s">
        <v>7</v>
      </c>
      <c r="E2">
        <v>0.6</v>
      </c>
      <c r="F2" s="9" t="s">
        <v>8</v>
      </c>
      <c r="H2">
        <v>1.2367999999999999</v>
      </c>
      <c r="I2">
        <f>0.1/H2</f>
        <v>8.0853816300129375E-2</v>
      </c>
      <c r="J2" s="21">
        <f>0.00005/H2</f>
        <v>4.0426908150064686E-5</v>
      </c>
    </row>
    <row r="3" spans="1:10">
      <c r="A3" s="7" t="s">
        <v>9</v>
      </c>
      <c r="B3" t="s">
        <v>10</v>
      </c>
      <c r="D3" s="8" t="s">
        <v>7</v>
      </c>
      <c r="E3">
        <v>0.6</v>
      </c>
      <c r="F3" s="9" t="s">
        <v>8</v>
      </c>
      <c r="H3">
        <v>0.13880000000000001</v>
      </c>
      <c r="I3">
        <f t="shared" ref="I3:I9" si="0">0.1/H3</f>
        <v>0.72046109510086453</v>
      </c>
      <c r="J3" s="21">
        <f t="shared" ref="J3:J10" si="1">0.00005/H3</f>
        <v>3.6023054755043225E-4</v>
      </c>
    </row>
    <row r="4" spans="1:10">
      <c r="A4" t="s">
        <v>11</v>
      </c>
      <c r="B4" t="s">
        <v>12</v>
      </c>
      <c r="D4" s="8" t="s">
        <v>7</v>
      </c>
      <c r="E4">
        <v>0.6</v>
      </c>
      <c r="F4" s="9" t="s">
        <v>8</v>
      </c>
      <c r="H4">
        <v>0.3715</v>
      </c>
      <c r="I4">
        <f t="shared" si="0"/>
        <v>0.26917900403768508</v>
      </c>
      <c r="J4" s="21">
        <f t="shared" si="1"/>
        <v>1.3458950201884255E-4</v>
      </c>
    </row>
    <row r="5" spans="1:10" ht="15.6">
      <c r="A5" s="10" t="s">
        <v>13</v>
      </c>
      <c r="B5" t="s">
        <v>14</v>
      </c>
      <c r="D5" s="8" t="s">
        <v>7</v>
      </c>
      <c r="E5">
        <v>0.6</v>
      </c>
      <c r="F5" s="9" t="s">
        <v>8</v>
      </c>
      <c r="H5">
        <v>2.4630000000000001</v>
      </c>
      <c r="I5">
        <f t="shared" si="0"/>
        <v>4.0600893219650831E-2</v>
      </c>
      <c r="J5" s="21">
        <f t="shared" si="1"/>
        <v>2.0300446609825418E-5</v>
      </c>
    </row>
    <row r="6" spans="1:10" ht="15.6">
      <c r="A6" s="10" t="s">
        <v>15</v>
      </c>
      <c r="B6" t="s">
        <v>16</v>
      </c>
      <c r="D6" s="8" t="s">
        <v>7</v>
      </c>
      <c r="E6">
        <v>0.6</v>
      </c>
      <c r="F6" s="9" t="s">
        <v>8</v>
      </c>
      <c r="H6">
        <v>6.617</v>
      </c>
      <c r="I6">
        <f t="shared" si="0"/>
        <v>1.5112588786459122E-2</v>
      </c>
      <c r="J6" s="21">
        <f t="shared" si="1"/>
        <v>7.5562943932295606E-6</v>
      </c>
    </row>
    <row r="7" spans="1:10" ht="15.6">
      <c r="A7" s="10" t="s">
        <v>17</v>
      </c>
      <c r="B7" t="s">
        <v>18</v>
      </c>
      <c r="D7" s="8" t="s">
        <v>7</v>
      </c>
      <c r="E7">
        <v>0.6</v>
      </c>
      <c r="F7" s="9" t="s">
        <v>8</v>
      </c>
      <c r="H7">
        <v>2.270972</v>
      </c>
      <c r="I7">
        <f t="shared" si="0"/>
        <v>4.4034008345325261E-2</v>
      </c>
      <c r="J7" s="21">
        <f t="shared" si="1"/>
        <v>2.2017004172662632E-5</v>
      </c>
    </row>
    <row r="8" spans="1:10" ht="15.6">
      <c r="A8" s="10" t="s">
        <v>19</v>
      </c>
      <c r="B8" t="s">
        <v>20</v>
      </c>
      <c r="D8" s="8" t="s">
        <v>7</v>
      </c>
      <c r="E8">
        <v>0.6</v>
      </c>
      <c r="F8" s="9" t="s">
        <v>8</v>
      </c>
      <c r="H8">
        <v>1.83138069999999</v>
      </c>
      <c r="I8">
        <f t="shared" si="0"/>
        <v>5.4603611362727886E-2</v>
      </c>
      <c r="J8" s="21">
        <f t="shared" si="1"/>
        <v>2.7301805681363942E-5</v>
      </c>
    </row>
    <row r="9" spans="1:10" ht="15.6">
      <c r="A9" s="10" t="s">
        <v>21</v>
      </c>
      <c r="B9" t="s">
        <v>22</v>
      </c>
      <c r="D9" s="8" t="s">
        <v>7</v>
      </c>
      <c r="E9">
        <v>0.6</v>
      </c>
      <c r="F9" s="9" t="s">
        <v>23</v>
      </c>
      <c r="H9">
        <v>0.89241253949999999</v>
      </c>
      <c r="I9">
        <f t="shared" si="0"/>
        <v>0.11205579883046904</v>
      </c>
      <c r="J9" s="21">
        <f>0.00002/H9</f>
        <v>2.241115976609381E-5</v>
      </c>
    </row>
    <row r="10" spans="1:10">
      <c r="A10" s="1" t="s">
        <v>24</v>
      </c>
      <c r="D10" s="8" t="s">
        <v>60</v>
      </c>
      <c r="E10">
        <v>0.6</v>
      </c>
      <c r="F10" s="9" t="s">
        <v>8</v>
      </c>
      <c r="H10" s="6">
        <v>1.2275704999999999</v>
      </c>
      <c r="I10" s="6">
        <v>0.2</v>
      </c>
      <c r="J10" s="21">
        <f t="shared" si="1"/>
        <v>4.0730858227694462E-5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zoomScale="85" zoomScaleNormal="85" workbookViewId="0">
      <selection activeCell="H25" sqref="H25"/>
    </sheetView>
  </sheetViews>
  <sheetFormatPr defaultColWidth="9" defaultRowHeight="14.4"/>
  <cols>
    <col min="1" max="1" width="13.21875" customWidth="1"/>
    <col min="4" max="4" width="12.77734375"/>
    <col min="7" max="11" width="12.77734375"/>
    <col min="14" max="16" width="12.77734375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15101.687979737901</v>
      </c>
      <c r="H2" s="1">
        <v>0.102218627929687</v>
      </c>
      <c r="I2" s="1">
        <v>2.06367969512939E-2</v>
      </c>
      <c r="J2" s="1">
        <v>2.1185792322529401E-7</v>
      </c>
      <c r="K2" s="1">
        <v>3.8774194151325401E-7</v>
      </c>
      <c r="L2" s="1">
        <v>302</v>
      </c>
      <c r="M2" s="1">
        <v>197</v>
      </c>
      <c r="N2" s="1">
        <v>15102.1113644572</v>
      </c>
      <c r="O2" s="1">
        <v>0.42058658599853499</v>
      </c>
      <c r="P2" s="1">
        <v>5.3294420242309598E-2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15114.180018712301</v>
      </c>
      <c r="H3" s="1">
        <v>9.8590850830078097E-2</v>
      </c>
      <c r="I3" s="1">
        <v>2.24409103393555E-2</v>
      </c>
      <c r="J3" s="1">
        <v>3.6704961954916603E-8</v>
      </c>
      <c r="K3" s="1">
        <v>7.1134965940537894E-8</v>
      </c>
      <c r="L3" s="1">
        <v>509</v>
      </c>
      <c r="M3" s="1">
        <v>323</v>
      </c>
      <c r="N3" s="1">
        <v>15114.5434153161</v>
      </c>
      <c r="O3" s="1">
        <v>0.61627006530761697</v>
      </c>
      <c r="P3" s="1">
        <v>7.1509122848510701E-2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15319.6647881838</v>
      </c>
      <c r="H4" s="1">
        <v>9.5533370971679701E-2</v>
      </c>
      <c r="I4" s="1">
        <v>3.4142017364502002E-2</v>
      </c>
      <c r="J4" s="1">
        <v>1.3232307385477101E-9</v>
      </c>
      <c r="K4" s="1">
        <v>2.7074300488239399E-9</v>
      </c>
      <c r="L4" s="1">
        <v>989</v>
      </c>
      <c r="M4" s="1">
        <v>611</v>
      </c>
      <c r="N4" s="1">
        <v>15317.850627833301</v>
      </c>
      <c r="O4" s="1">
        <v>1.1227674484252901</v>
      </c>
      <c r="P4" s="1">
        <v>0.101541757583618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15340.9639007757</v>
      </c>
      <c r="H5" s="1">
        <v>9.6509933471679701E-2</v>
      </c>
      <c r="I5" s="1">
        <v>2.9475212097168E-2</v>
      </c>
      <c r="J5" s="1">
        <v>1.7964679070696799E-9</v>
      </c>
      <c r="K5" s="1">
        <v>3.9510359814046299E-9</v>
      </c>
      <c r="L5" s="1">
        <v>1535</v>
      </c>
      <c r="M5" s="1">
        <v>935</v>
      </c>
      <c r="N5" s="1">
        <v>15340.849298412</v>
      </c>
      <c r="O5" s="1">
        <v>1.71966075897217</v>
      </c>
      <c r="P5" s="1">
        <v>0.13325023651123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15195.8083190752</v>
      </c>
      <c r="H6" s="1">
        <v>9.6233367919921903E-2</v>
      </c>
      <c r="I6" s="1">
        <v>2.5780916213989299E-2</v>
      </c>
      <c r="J6" s="1">
        <v>3.0881057034879301E-6</v>
      </c>
      <c r="K6" s="1">
        <v>5.4991837688693296E-6</v>
      </c>
      <c r="L6" s="1">
        <v>2222</v>
      </c>
      <c r="M6" s="1">
        <v>1349</v>
      </c>
      <c r="N6" s="1">
        <v>15195.963252486799</v>
      </c>
      <c r="O6" s="1">
        <v>2.4431896209716801</v>
      </c>
      <c r="P6" s="1">
        <v>0.228366613388061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14711.7632237537</v>
      </c>
      <c r="H7" s="1">
        <v>9.5758438110351604E-2</v>
      </c>
      <c r="I7" s="1">
        <v>4.3710231781005901E-2</v>
      </c>
      <c r="J7" s="1">
        <v>2.69266462057954E-6</v>
      </c>
      <c r="K7" s="1">
        <v>4.4985520179174996E-6</v>
      </c>
      <c r="L7" s="1">
        <v>3542</v>
      </c>
      <c r="M7" s="1">
        <v>2141</v>
      </c>
      <c r="N7" s="1">
        <v>14713.0701782055</v>
      </c>
      <c r="O7" s="1">
        <v>4.0166044235229501</v>
      </c>
      <c r="P7" s="1">
        <v>0.337430000305176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14812.194518799201</v>
      </c>
      <c r="H8" s="1">
        <v>9.5853805541992201E-2</v>
      </c>
      <c r="I8" s="1">
        <v>2.3907184600830099E-2</v>
      </c>
      <c r="J8" s="1">
        <v>1.0685468475195899E-6</v>
      </c>
      <c r="K8" s="1">
        <v>2.2167861990541802E-6</v>
      </c>
      <c r="L8" s="1">
        <v>4082</v>
      </c>
      <c r="M8" s="1">
        <v>2465</v>
      </c>
      <c r="N8" s="1">
        <v>14812.158982268</v>
      </c>
      <c r="O8" s="1">
        <v>4.5146532058715803</v>
      </c>
      <c r="P8" s="1">
        <v>0.33499741554260198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14889.0745757122</v>
      </c>
      <c r="H9" s="1">
        <v>9.9147796630859403E-2</v>
      </c>
      <c r="I9" s="1">
        <v>3.7094831466674798E-2</v>
      </c>
      <c r="J9" s="1">
        <v>4.5338955077175302E-7</v>
      </c>
      <c r="K9" s="1">
        <v>5.5934401201374001E-7</v>
      </c>
      <c r="L9" s="1">
        <v>15989</v>
      </c>
      <c r="M9" s="1">
        <v>9611</v>
      </c>
      <c r="N9" s="1">
        <v>14888.881775153201</v>
      </c>
      <c r="O9" s="1">
        <v>17.9423971176147</v>
      </c>
      <c r="P9" s="1">
        <v>1.8452892303466799</v>
      </c>
      <c r="R9" s="6"/>
    </row>
    <row r="10" spans="1:18">
      <c r="A10" s="1" t="s">
        <v>42</v>
      </c>
      <c r="B10" s="1">
        <v>72</v>
      </c>
      <c r="C10" s="1" t="s">
        <v>5</v>
      </c>
      <c r="D10" s="1">
        <v>129741.89738629499</v>
      </c>
      <c r="E10" s="1">
        <v>1028</v>
      </c>
      <c r="F10" s="1">
        <v>796</v>
      </c>
      <c r="G10" s="1">
        <v>122734.74796363999</v>
      </c>
      <c r="H10" s="1">
        <v>1.64988040924072</v>
      </c>
      <c r="I10" s="1">
        <v>6.3973426818847698E-2</v>
      </c>
      <c r="J10" s="1">
        <v>1.96156604676235E-9</v>
      </c>
      <c r="K10" s="1">
        <v>4.71328085504052E-8</v>
      </c>
      <c r="L10" s="1">
        <v>7292</v>
      </c>
      <c r="M10" s="1">
        <v>4828</v>
      </c>
      <c r="N10" s="1">
        <v>122713.269767932</v>
      </c>
      <c r="O10" s="1">
        <v>8.6810064315795898</v>
      </c>
      <c r="P10" s="1">
        <v>0.52747297286987305</v>
      </c>
      <c r="R10" s="6"/>
    </row>
    <row r="11" spans="1:18">
      <c r="A11" s="1" t="s">
        <v>42</v>
      </c>
      <c r="B11" s="1">
        <v>72</v>
      </c>
      <c r="C11" s="1" t="s">
        <v>9</v>
      </c>
      <c r="D11" s="1">
        <v>129741.89738629499</v>
      </c>
      <c r="E11" s="1">
        <v>1028</v>
      </c>
      <c r="F11" s="1">
        <v>796</v>
      </c>
      <c r="G11" s="1">
        <v>123026.17956315201</v>
      </c>
      <c r="H11" s="1">
        <v>1.6508598327636701</v>
      </c>
      <c r="I11" s="1">
        <v>8.1114530563354506E-2</v>
      </c>
      <c r="J11" s="1">
        <v>6.1702169132476996E-10</v>
      </c>
      <c r="K11" s="1">
        <v>4.4779721808638398E-9</v>
      </c>
      <c r="L11" s="1">
        <v>12260</v>
      </c>
      <c r="M11" s="1">
        <v>7852</v>
      </c>
      <c r="N11" s="1">
        <v>122792.60157155</v>
      </c>
      <c r="O11" s="1">
        <v>14.611203193664601</v>
      </c>
      <c r="P11" s="1">
        <v>0.83446764945983898</v>
      </c>
      <c r="R11" s="6"/>
    </row>
    <row r="12" spans="1:18">
      <c r="A12" s="1" t="s">
        <v>42</v>
      </c>
      <c r="B12" s="1">
        <v>72</v>
      </c>
      <c r="C12" s="1" t="s">
        <v>11</v>
      </c>
      <c r="D12" s="1">
        <v>129741.89738629499</v>
      </c>
      <c r="E12" s="1">
        <v>1028</v>
      </c>
      <c r="F12" s="1">
        <v>796</v>
      </c>
      <c r="G12" s="1">
        <v>127832.737719905</v>
      </c>
      <c r="H12" s="1">
        <v>1.65065574645996</v>
      </c>
      <c r="I12" s="1">
        <v>7.6602697372436496E-2</v>
      </c>
      <c r="J12" s="1">
        <v>2.65042302649508E-10</v>
      </c>
      <c r="K12" s="1">
        <v>1.18525641667967E-9</v>
      </c>
      <c r="L12" s="1">
        <v>23780</v>
      </c>
      <c r="M12" s="1">
        <v>14764</v>
      </c>
      <c r="N12" s="1">
        <v>127740.760387466</v>
      </c>
      <c r="O12" s="1">
        <v>27.934778213501001</v>
      </c>
      <c r="P12" s="1">
        <v>1.6377265453338601</v>
      </c>
      <c r="R12" s="6"/>
    </row>
    <row r="13" spans="1:18">
      <c r="A13" s="1" t="s">
        <v>42</v>
      </c>
      <c r="B13" s="1">
        <v>72</v>
      </c>
      <c r="C13" s="1" t="s">
        <v>13</v>
      </c>
      <c r="D13" s="1">
        <v>129741.89738629499</v>
      </c>
      <c r="E13" s="1">
        <v>1028</v>
      </c>
      <c r="F13" s="1">
        <v>796</v>
      </c>
      <c r="G13" s="1">
        <v>128329.45847140301</v>
      </c>
      <c r="H13" s="1">
        <v>1.6502380371093699</v>
      </c>
      <c r="I13" s="1">
        <v>7.8136444091796903E-2</v>
      </c>
      <c r="J13" s="1">
        <v>2.5891348565988499E-10</v>
      </c>
      <c r="K13" s="1">
        <v>1.0221803460126201E-9</v>
      </c>
      <c r="L13" s="1">
        <v>36884</v>
      </c>
      <c r="M13" s="1">
        <v>22540</v>
      </c>
      <c r="N13" s="1">
        <v>128321.49463573001</v>
      </c>
      <c r="O13" s="1">
        <v>45.789970397949197</v>
      </c>
      <c r="P13" s="1">
        <v>28.666557073593101</v>
      </c>
      <c r="R13" s="6"/>
    </row>
    <row r="14" spans="1:18">
      <c r="A14" s="1" t="s">
        <v>42</v>
      </c>
      <c r="B14" s="1">
        <v>72</v>
      </c>
      <c r="C14" s="1" t="s">
        <v>15</v>
      </c>
      <c r="D14" s="1">
        <v>129741.89738629499</v>
      </c>
      <c r="E14" s="1">
        <v>1028</v>
      </c>
      <c r="F14" s="1">
        <v>796</v>
      </c>
      <c r="G14" s="1">
        <v>124941.92524362099</v>
      </c>
      <c r="H14" s="1">
        <v>1.6493721008300799</v>
      </c>
      <c r="I14" s="1">
        <v>8.8160514831542997E-2</v>
      </c>
      <c r="J14" s="1">
        <v>1.9374973244764299E-8</v>
      </c>
      <c r="K14" s="1">
        <v>5.5688775152726398E-7</v>
      </c>
      <c r="L14" s="1">
        <v>53372</v>
      </c>
      <c r="M14" s="1">
        <v>32476</v>
      </c>
      <c r="N14" s="1">
        <v>124935.578289863</v>
      </c>
      <c r="O14" s="1">
        <v>61.738927841186502</v>
      </c>
      <c r="P14" s="1">
        <v>6.3616445064544704</v>
      </c>
      <c r="R14" s="6"/>
    </row>
    <row r="15" spans="1:18">
      <c r="A15" s="1" t="s">
        <v>42</v>
      </c>
      <c r="B15" s="1">
        <v>72</v>
      </c>
      <c r="C15" s="1" t="s">
        <v>17</v>
      </c>
      <c r="D15" s="1">
        <v>129741.89738629499</v>
      </c>
      <c r="E15" s="1">
        <v>1028</v>
      </c>
      <c r="F15" s="1">
        <v>796</v>
      </c>
      <c r="G15" s="1">
        <v>113702.25848190099</v>
      </c>
      <c r="H15" s="1">
        <v>1.6510648727417001</v>
      </c>
      <c r="I15" s="1">
        <v>7.9145431518554701E-2</v>
      </c>
      <c r="J15" s="1">
        <v>3.7779783828222898E-8</v>
      </c>
      <c r="K15" s="1">
        <v>7.5701615639028395E-7</v>
      </c>
      <c r="L15" s="1">
        <v>85052</v>
      </c>
      <c r="M15" s="1">
        <v>51484</v>
      </c>
      <c r="N15" s="1">
        <v>113654.247039029</v>
      </c>
      <c r="O15" s="1">
        <v>99.765612602233901</v>
      </c>
      <c r="P15" s="1">
        <v>7.0630135536193803</v>
      </c>
      <c r="R15" s="6"/>
    </row>
    <row r="16" spans="1:18">
      <c r="A16" s="1" t="s">
        <v>42</v>
      </c>
      <c r="B16" s="1">
        <v>72</v>
      </c>
      <c r="C16" s="1" t="s">
        <v>19</v>
      </c>
      <c r="D16" s="1">
        <v>129741.89738629499</v>
      </c>
      <c r="E16" s="1">
        <v>1028</v>
      </c>
      <c r="F16" s="1">
        <v>796</v>
      </c>
      <c r="G16" s="1">
        <v>115994.884506521</v>
      </c>
      <c r="H16" s="1">
        <v>1.65049076080322</v>
      </c>
      <c r="I16" s="1">
        <v>7.9787969589233398E-2</v>
      </c>
      <c r="J16" s="1">
        <v>3.99694081955204E-8</v>
      </c>
      <c r="K16" s="1">
        <v>3.01465191902213E-7</v>
      </c>
      <c r="L16" s="1">
        <v>98012</v>
      </c>
      <c r="M16" s="1">
        <v>59260</v>
      </c>
      <c r="N16" s="1">
        <v>115963.38166372001</v>
      </c>
      <c r="O16" s="1">
        <v>114.073488235474</v>
      </c>
      <c r="P16" s="1">
        <v>8.1738960742950404</v>
      </c>
      <c r="R16" s="6"/>
    </row>
    <row r="17" spans="1:18">
      <c r="A17" s="1" t="s">
        <v>42</v>
      </c>
      <c r="B17" s="1">
        <v>72</v>
      </c>
      <c r="C17" s="1" t="s">
        <v>21</v>
      </c>
      <c r="D17" s="1">
        <v>129741.89738629499</v>
      </c>
      <c r="E17" s="1">
        <v>1028</v>
      </c>
      <c r="F17" s="1">
        <v>796</v>
      </c>
      <c r="G17" s="1">
        <v>117750.203833864</v>
      </c>
      <c r="H17" s="1">
        <v>1.65115737915039</v>
      </c>
      <c r="I17" s="1">
        <v>7.9348802566528306E-2</v>
      </c>
      <c r="J17" s="1">
        <v>1.3711880072096E-7</v>
      </c>
      <c r="K17" s="1">
        <v>3.72910930667467E-7</v>
      </c>
      <c r="L17" s="1">
        <v>383780</v>
      </c>
      <c r="M17" s="1">
        <v>230764</v>
      </c>
      <c r="N17" s="1">
        <v>117711.973298861</v>
      </c>
      <c r="O17" s="1">
        <v>442.93468093872099</v>
      </c>
      <c r="P17" s="1">
        <v>131.884516954422</v>
      </c>
      <c r="R17" s="6"/>
    </row>
    <row r="18" spans="1:18">
      <c r="A18" s="1" t="s">
        <v>43</v>
      </c>
      <c r="B18" s="1">
        <v>149</v>
      </c>
      <c r="C18" s="1" t="s">
        <v>5</v>
      </c>
      <c r="D18" s="1">
        <v>901825.155303612</v>
      </c>
      <c r="E18" s="1">
        <v>2239</v>
      </c>
      <c r="F18" s="1">
        <v>1785</v>
      </c>
      <c r="G18" s="1">
        <v>879569.72380440799</v>
      </c>
      <c r="H18" s="1">
        <v>3.4988679885864298</v>
      </c>
      <c r="I18" s="1">
        <v>0.22933316230773901</v>
      </c>
      <c r="J18" s="1">
        <v>3.0330688718493598E-9</v>
      </c>
      <c r="K18" s="1">
        <v>3.5608637552635298E-7</v>
      </c>
      <c r="L18" s="1">
        <v>15202</v>
      </c>
      <c r="M18" s="1">
        <v>10129</v>
      </c>
      <c r="N18" s="1">
        <v>879472.99292078498</v>
      </c>
      <c r="O18" s="1">
        <v>17.9409790039063</v>
      </c>
      <c r="P18" s="1">
        <v>1.14034748077393</v>
      </c>
      <c r="R18" s="6"/>
    </row>
    <row r="19" spans="1:18">
      <c r="A19" s="1" t="s">
        <v>43</v>
      </c>
      <c r="B19" s="1">
        <v>149</v>
      </c>
      <c r="C19" s="1" t="s">
        <v>9</v>
      </c>
      <c r="D19" s="1">
        <v>901825.155303612</v>
      </c>
      <c r="E19" s="1">
        <v>2239</v>
      </c>
      <c r="F19" s="1">
        <v>1785</v>
      </c>
      <c r="G19" s="1">
        <v>880464.58204668504</v>
      </c>
      <c r="H19" s="1">
        <v>3.49944972991943</v>
      </c>
      <c r="I19" s="1">
        <v>0.23612236976623499</v>
      </c>
      <c r="J19" s="1">
        <v>9.8123040985134106E-10</v>
      </c>
      <c r="K19" s="1">
        <v>7.88117012997334E-8</v>
      </c>
      <c r="L19" s="1">
        <v>25483</v>
      </c>
      <c r="M19" s="1">
        <v>16387</v>
      </c>
      <c r="N19" s="1">
        <v>879562.80319421797</v>
      </c>
      <c r="O19" s="1">
        <v>29.73805809021</v>
      </c>
      <c r="P19" s="1">
        <v>2.1520197391510001</v>
      </c>
      <c r="R19" s="6"/>
    </row>
    <row r="20" spans="1:18">
      <c r="A20" s="1" t="s">
        <v>43</v>
      </c>
      <c r="B20" s="1">
        <v>149</v>
      </c>
      <c r="C20" s="1" t="s">
        <v>11</v>
      </c>
      <c r="D20" s="1">
        <v>901825.155303612</v>
      </c>
      <c r="E20" s="1">
        <v>2239</v>
      </c>
      <c r="F20" s="1">
        <v>1785</v>
      </c>
      <c r="G20" s="1">
        <v>895483.60997961101</v>
      </c>
      <c r="H20" s="1">
        <v>3.4994087219238299</v>
      </c>
      <c r="I20" s="1">
        <v>0.23140525817871099</v>
      </c>
      <c r="J20" s="1">
        <v>1.80826901180992E-10</v>
      </c>
      <c r="K20" s="1">
        <v>1.2307468438531801E-9</v>
      </c>
      <c r="L20" s="1">
        <v>49323</v>
      </c>
      <c r="M20" s="1">
        <v>30691</v>
      </c>
      <c r="N20" s="1">
        <v>895140.80161165097</v>
      </c>
      <c r="O20" s="1">
        <v>58.500572204589801</v>
      </c>
      <c r="P20" s="1">
        <v>4.2642402648925799</v>
      </c>
      <c r="R20" s="6"/>
    </row>
    <row r="21" spans="1:18">
      <c r="A21" s="1" t="s">
        <v>43</v>
      </c>
      <c r="B21" s="1">
        <v>149</v>
      </c>
      <c r="C21" s="1" t="s">
        <v>13</v>
      </c>
      <c r="D21" s="1">
        <v>901825.155303612</v>
      </c>
      <c r="E21" s="1">
        <v>2239</v>
      </c>
      <c r="F21" s="1">
        <v>1785</v>
      </c>
      <c r="G21" s="1">
        <v>897124.70861481398</v>
      </c>
      <c r="H21" s="1">
        <v>3.4987850189209002</v>
      </c>
      <c r="I21" s="1">
        <v>0.23318171501159701</v>
      </c>
      <c r="J21" s="1">
        <v>2.16294313693578E-10</v>
      </c>
      <c r="K21" s="1">
        <v>4.3001012000539103E-9</v>
      </c>
      <c r="L21" s="1">
        <v>76441</v>
      </c>
      <c r="M21" s="1">
        <v>46783</v>
      </c>
      <c r="N21" s="1">
        <v>897092.23324689898</v>
      </c>
      <c r="O21" s="1">
        <v>91.076715469360394</v>
      </c>
      <c r="P21" s="1">
        <v>7.6581850051879901</v>
      </c>
      <c r="R21" s="6"/>
    </row>
    <row r="22" spans="1:18">
      <c r="A22" s="1" t="s">
        <v>43</v>
      </c>
      <c r="B22" s="1">
        <v>149</v>
      </c>
      <c r="C22" s="1" t="s">
        <v>15</v>
      </c>
      <c r="D22" s="1">
        <v>901825.155303612</v>
      </c>
      <c r="E22" s="1">
        <v>2239</v>
      </c>
      <c r="F22" s="1">
        <v>1785</v>
      </c>
      <c r="G22" s="1">
        <v>886310.26211023598</v>
      </c>
      <c r="H22" s="1">
        <v>3.49760818481445</v>
      </c>
      <c r="I22" s="1">
        <v>0.230934143066406</v>
      </c>
      <c r="J22" s="1">
        <v>3.9725929866693298E-8</v>
      </c>
      <c r="K22" s="1">
        <v>4.88458110974026E-6</v>
      </c>
      <c r="L22" s="1">
        <v>110562</v>
      </c>
      <c r="M22" s="1">
        <v>67345</v>
      </c>
      <c r="N22" s="1">
        <v>886280.83992747404</v>
      </c>
      <c r="O22" s="1">
        <v>129.37126541137701</v>
      </c>
      <c r="P22" s="1">
        <v>17.5131945610046</v>
      </c>
      <c r="R22" s="6"/>
    </row>
    <row r="23" spans="1:18">
      <c r="A23" s="1" t="s">
        <v>43</v>
      </c>
      <c r="B23" s="1">
        <v>149</v>
      </c>
      <c r="C23" s="1" t="s">
        <v>17</v>
      </c>
      <c r="D23" s="1">
        <v>901825.155303612</v>
      </c>
      <c r="E23" s="1">
        <v>2239</v>
      </c>
      <c r="F23" s="1">
        <v>1785</v>
      </c>
      <c r="G23" s="1">
        <v>852024.54574401502</v>
      </c>
      <c r="H23" s="1">
        <v>3.49976634979248</v>
      </c>
      <c r="I23" s="1">
        <v>0.23555493354797399</v>
      </c>
      <c r="J23" s="1">
        <v>1.5826025377140599E-7</v>
      </c>
      <c r="K23" s="1">
        <v>1.7297722895827499E-5</v>
      </c>
      <c r="L23" s="1">
        <v>176122</v>
      </c>
      <c r="M23" s="1">
        <v>106681</v>
      </c>
      <c r="N23" s="1">
        <v>851810.322808992</v>
      </c>
      <c r="O23" s="1">
        <v>210.325322151184</v>
      </c>
      <c r="P23" s="1">
        <v>65.989896297454806</v>
      </c>
      <c r="R23" s="6"/>
    </row>
    <row r="24" spans="1:18">
      <c r="A24" s="1" t="s">
        <v>43</v>
      </c>
      <c r="B24" s="1">
        <v>149</v>
      </c>
      <c r="C24" s="1" t="s">
        <v>19</v>
      </c>
      <c r="D24" s="1">
        <v>901825.155303612</v>
      </c>
      <c r="E24" s="1">
        <v>2239</v>
      </c>
      <c r="F24" s="1">
        <v>1785</v>
      </c>
      <c r="G24" s="1">
        <v>859031.18226781697</v>
      </c>
      <c r="H24" s="1">
        <v>3.4999666213989298</v>
      </c>
      <c r="I24" s="1">
        <v>0.233039140701294</v>
      </c>
      <c r="J24" s="1">
        <v>1.28336176543815E-7</v>
      </c>
      <c r="K24" s="1">
        <v>1.32299180649051E-5</v>
      </c>
      <c r="L24" s="1">
        <v>202942</v>
      </c>
      <c r="M24" s="1">
        <v>122773</v>
      </c>
      <c r="N24" s="1">
        <v>858907.98761257005</v>
      </c>
      <c r="O24" s="1">
        <v>232.02884387969999</v>
      </c>
      <c r="P24" s="1">
        <v>36.775158643722499</v>
      </c>
      <c r="R24" s="6"/>
    </row>
    <row r="25" spans="1:18">
      <c r="A25" s="1" t="s">
        <v>43</v>
      </c>
      <c r="B25" s="1">
        <v>149</v>
      </c>
      <c r="C25" s="1" t="s">
        <v>21</v>
      </c>
      <c r="D25" s="1">
        <v>901825.155303612</v>
      </c>
      <c r="E25" s="1">
        <v>2239</v>
      </c>
      <c r="F25" s="1">
        <v>1785</v>
      </c>
      <c r="G25" s="1">
        <v>864488.19914882001</v>
      </c>
      <c r="H25" s="1">
        <v>3.50549983978271</v>
      </c>
      <c r="I25" s="1">
        <v>0.22931003570556599</v>
      </c>
      <c r="J25" s="1">
        <v>1.08408669693562E-7</v>
      </c>
      <c r="K25" s="1">
        <v>5.4304321994711201E-7</v>
      </c>
      <c r="L25" s="1">
        <v>794323</v>
      </c>
      <c r="M25" s="1">
        <v>477691</v>
      </c>
      <c r="N25" s="1">
        <v>864340.55279821099</v>
      </c>
      <c r="O25" s="1">
        <v>907.24228477478005</v>
      </c>
      <c r="P25" s="1">
        <v>764.71352243423496</v>
      </c>
      <c r="R25" s="6"/>
    </row>
    <row r="31" spans="1:18">
      <c r="K31" s="1"/>
    </row>
  </sheetData>
  <sortState xmlns:xlrd2="http://schemas.microsoft.com/office/spreadsheetml/2017/richdata2" ref="A2:P25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53"/>
  <sheetViews>
    <sheetView zoomScale="70" zoomScaleNormal="70" workbookViewId="0">
      <selection activeCell="C10" sqref="C10"/>
    </sheetView>
  </sheetViews>
  <sheetFormatPr defaultColWidth="9" defaultRowHeight="14.4"/>
  <cols>
    <col min="1" max="1" width="16.109375" style="1" customWidth="1"/>
    <col min="2" max="2" width="9" style="1"/>
    <col min="3" max="3" width="18.88671875" style="1" customWidth="1"/>
    <col min="4" max="4" width="12.77734375" style="1"/>
    <col min="5" max="6" width="9" style="1"/>
    <col min="7" max="11" width="12.77734375" style="1"/>
    <col min="12" max="13" width="9" style="1"/>
    <col min="14" max="16" width="12.77734375" style="1"/>
    <col min="18" max="18" width="13.88671875"/>
  </cols>
  <sheetData>
    <row r="1" spans="1:18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</row>
    <row r="2" spans="1:18">
      <c r="A2" s="1" t="s">
        <v>41</v>
      </c>
      <c r="B2" s="1">
        <v>3</v>
      </c>
      <c r="C2" s="1" t="s">
        <v>5</v>
      </c>
      <c r="D2" s="1">
        <v>15401.386366382099</v>
      </c>
      <c r="E2" s="1">
        <v>41</v>
      </c>
      <c r="F2" s="1">
        <v>29</v>
      </c>
      <c r="G2" s="1">
        <v>15120.348101471</v>
      </c>
      <c r="H2" s="1">
        <v>0.10278129577636699</v>
      </c>
      <c r="I2" s="1">
        <v>2.11570262908936E-2</v>
      </c>
      <c r="J2" s="1">
        <v>1.53066999920422E-7</v>
      </c>
      <c r="K2" s="1">
        <v>4.1591509555401998E-7</v>
      </c>
      <c r="L2" s="1">
        <v>275</v>
      </c>
      <c r="M2" s="1">
        <v>197</v>
      </c>
      <c r="N2" s="1">
        <v>15120.304895868099</v>
      </c>
      <c r="O2" s="1">
        <v>0.38831710815429699</v>
      </c>
      <c r="P2" s="1">
        <v>4.2505264282226597E-2</v>
      </c>
      <c r="R2" s="6"/>
    </row>
    <row r="3" spans="1:18">
      <c r="A3" s="1" t="s">
        <v>41</v>
      </c>
      <c r="B3" s="1">
        <v>3</v>
      </c>
      <c r="C3" s="1" t="s">
        <v>9</v>
      </c>
      <c r="D3" s="1">
        <v>15401.386366382099</v>
      </c>
      <c r="E3" s="1">
        <v>41</v>
      </c>
      <c r="F3" s="1">
        <v>29</v>
      </c>
      <c r="G3" s="1">
        <v>15076.438912819</v>
      </c>
      <c r="H3" s="1">
        <v>9.912109375E-2</v>
      </c>
      <c r="I3" s="1">
        <v>1.9949674606323201E-2</v>
      </c>
      <c r="J3" s="1">
        <v>5.5886806093771101E-9</v>
      </c>
      <c r="K3" s="1">
        <v>7.4985251027191998E-9</v>
      </c>
      <c r="L3" s="1">
        <v>461</v>
      </c>
      <c r="M3" s="1">
        <v>323</v>
      </c>
      <c r="N3" s="1">
        <v>15075.009030826701</v>
      </c>
      <c r="O3" s="1">
        <v>0.56452369689941395</v>
      </c>
      <c r="P3" s="1">
        <v>0.1057448387146</v>
      </c>
      <c r="R3" s="6"/>
    </row>
    <row r="4" spans="1:18">
      <c r="A4" s="1" t="s">
        <v>41</v>
      </c>
      <c r="B4" s="1">
        <v>3</v>
      </c>
      <c r="C4" s="1" t="s">
        <v>11</v>
      </c>
      <c r="D4" s="1">
        <v>15401.386366382099</v>
      </c>
      <c r="E4" s="1">
        <v>41</v>
      </c>
      <c r="F4" s="1">
        <v>29</v>
      </c>
      <c r="G4" s="1">
        <v>15309.751243574399</v>
      </c>
      <c r="H4" s="1">
        <v>9.9459648132324205E-2</v>
      </c>
      <c r="I4" s="1">
        <v>1.9940853118896502E-2</v>
      </c>
      <c r="J4" s="1">
        <v>2.0097443455393602E-9</v>
      </c>
      <c r="K4" s="1">
        <v>2.67433382670659E-9</v>
      </c>
      <c r="L4" s="1">
        <v>893</v>
      </c>
      <c r="M4" s="1">
        <v>611</v>
      </c>
      <c r="N4" s="1">
        <v>15309.3978018243</v>
      </c>
      <c r="O4" s="1">
        <v>1.0189733505248999</v>
      </c>
      <c r="P4" s="1">
        <v>0.23246431350707999</v>
      </c>
      <c r="R4" s="6"/>
    </row>
    <row r="5" spans="1:18">
      <c r="A5" s="1" t="s">
        <v>41</v>
      </c>
      <c r="B5" s="1">
        <v>3</v>
      </c>
      <c r="C5" s="1" t="s">
        <v>13</v>
      </c>
      <c r="D5" s="1">
        <v>15401.386366382099</v>
      </c>
      <c r="E5" s="1">
        <v>41</v>
      </c>
      <c r="F5" s="1">
        <v>29</v>
      </c>
      <c r="G5" s="1">
        <v>15343.9242857309</v>
      </c>
      <c r="H5" s="1">
        <v>9.6096992492675795E-2</v>
      </c>
      <c r="I5" s="1">
        <v>2.1763086318969699E-2</v>
      </c>
      <c r="J5" s="1">
        <v>5.5684047797690802E-9</v>
      </c>
      <c r="K5" s="1">
        <v>1.0801396293190801E-8</v>
      </c>
      <c r="L5" s="1">
        <v>1385</v>
      </c>
      <c r="M5" s="1">
        <v>935</v>
      </c>
      <c r="N5" s="1">
        <v>15343.8478200153</v>
      </c>
      <c r="O5" s="1">
        <v>1.55661773681641</v>
      </c>
      <c r="P5" s="1">
        <v>0.529557704925537</v>
      </c>
      <c r="R5" s="6"/>
    </row>
    <row r="6" spans="1:18">
      <c r="A6" s="1" t="s">
        <v>41</v>
      </c>
      <c r="B6" s="1">
        <v>3</v>
      </c>
      <c r="C6" s="1" t="s">
        <v>15</v>
      </c>
      <c r="D6" s="1">
        <v>15401.386366382099</v>
      </c>
      <c r="E6" s="1">
        <v>41</v>
      </c>
      <c r="F6" s="1">
        <v>29</v>
      </c>
      <c r="G6" s="1">
        <v>15197.891981808099</v>
      </c>
      <c r="H6" s="1">
        <v>9.6105575561523396E-2</v>
      </c>
      <c r="I6" s="1">
        <v>3.17003726959229E-2</v>
      </c>
      <c r="J6" s="1">
        <v>4.8155091990993101E-9</v>
      </c>
      <c r="K6" s="1">
        <v>6.1446205283377002E-9</v>
      </c>
      <c r="L6" s="1">
        <v>2003</v>
      </c>
      <c r="M6" s="1">
        <v>1349</v>
      </c>
      <c r="N6" s="1">
        <v>15197.7813410649</v>
      </c>
      <c r="O6" s="1">
        <v>2.18239498138428</v>
      </c>
      <c r="P6" s="1">
        <v>0.72833776473999001</v>
      </c>
      <c r="R6" s="6"/>
    </row>
    <row r="7" spans="1:18">
      <c r="A7" s="1" t="s">
        <v>41</v>
      </c>
      <c r="B7" s="1">
        <v>3</v>
      </c>
      <c r="C7" s="1" t="s">
        <v>17</v>
      </c>
      <c r="D7" s="1">
        <v>15401.386366382099</v>
      </c>
      <c r="E7" s="1">
        <v>41</v>
      </c>
      <c r="F7" s="1">
        <v>29</v>
      </c>
      <c r="G7" s="1">
        <v>14728.4216705498</v>
      </c>
      <c r="H7" s="1">
        <v>9.6379280090332003E-2</v>
      </c>
      <c r="I7" s="1">
        <v>1.9646167755126901E-2</v>
      </c>
      <c r="J7" s="1">
        <v>1.5590098916503401E-8</v>
      </c>
      <c r="K7" s="1">
        <v>1.6654737122273601E-8</v>
      </c>
      <c r="L7" s="1">
        <v>3191</v>
      </c>
      <c r="M7" s="1">
        <v>2141</v>
      </c>
      <c r="N7" s="1">
        <v>14727.2242064938</v>
      </c>
      <c r="O7" s="1">
        <v>3.6046266555786102</v>
      </c>
      <c r="P7" s="1">
        <v>0.92885994911193803</v>
      </c>
      <c r="R7" s="6"/>
    </row>
    <row r="8" spans="1:18">
      <c r="A8" s="1" t="s">
        <v>41</v>
      </c>
      <c r="B8" s="1">
        <v>3</v>
      </c>
      <c r="C8" s="1" t="s">
        <v>19</v>
      </c>
      <c r="D8" s="1">
        <v>15401.386366382099</v>
      </c>
      <c r="E8" s="1">
        <v>41</v>
      </c>
      <c r="F8" s="1">
        <v>29</v>
      </c>
      <c r="G8" s="1">
        <v>14812.9016199041</v>
      </c>
      <c r="H8" s="1">
        <v>9.6628189086914104E-2</v>
      </c>
      <c r="I8" s="1">
        <v>2.0048856735229499E-2</v>
      </c>
      <c r="J8" s="1">
        <v>5.5911737483941101E-8</v>
      </c>
      <c r="K8" s="1">
        <v>1.06595606187888E-7</v>
      </c>
      <c r="L8" s="1">
        <v>3677</v>
      </c>
      <c r="M8" s="1">
        <v>2465</v>
      </c>
      <c r="N8" s="1">
        <v>14812.1589551257</v>
      </c>
      <c r="O8" s="1">
        <v>4.0580816268920898</v>
      </c>
      <c r="P8" s="1">
        <v>1.0295033454895</v>
      </c>
      <c r="R8" s="6"/>
    </row>
    <row r="9" spans="1:18">
      <c r="A9" s="1" t="s">
        <v>41</v>
      </c>
      <c r="B9" s="1">
        <v>3</v>
      </c>
      <c r="C9" s="1" t="s">
        <v>21</v>
      </c>
      <c r="D9" s="1">
        <v>15401.386366382099</v>
      </c>
      <c r="E9" s="1">
        <v>41</v>
      </c>
      <c r="F9" s="1">
        <v>29</v>
      </c>
      <c r="G9" s="1">
        <v>14883.9443625842</v>
      </c>
      <c r="H9" s="1">
        <v>9.9115371704101604E-2</v>
      </c>
      <c r="I9" s="1">
        <v>1.9722938537597701E-2</v>
      </c>
      <c r="J9" s="1">
        <v>2.0014623274653801E-7</v>
      </c>
      <c r="K9" s="1">
        <v>2.0700882709883599E-7</v>
      </c>
      <c r="L9" s="1">
        <v>14393</v>
      </c>
      <c r="M9" s="1">
        <v>9611</v>
      </c>
      <c r="N9" s="1">
        <v>14882.895474549199</v>
      </c>
      <c r="O9" s="1">
        <v>16.0386514663696</v>
      </c>
      <c r="P9" s="1">
        <v>15.5916016101837</v>
      </c>
      <c r="R9" s="6"/>
    </row>
    <row r="10" spans="1:18">
      <c r="A10" s="1" t="s">
        <v>41</v>
      </c>
      <c r="B10" s="1">
        <v>3</v>
      </c>
      <c r="C10" s="11" t="s">
        <v>59</v>
      </c>
      <c r="D10" s="1">
        <v>15401.386366382099</v>
      </c>
      <c r="E10" s="1">
        <v>41</v>
      </c>
      <c r="F10" s="1">
        <v>29</v>
      </c>
      <c r="G10" s="1">
        <v>15349.2385906006</v>
      </c>
      <c r="H10" s="1">
        <v>0.10051918029785201</v>
      </c>
      <c r="I10" s="1">
        <v>2.0201683044433601E-2</v>
      </c>
      <c r="J10" s="1">
        <v>3.1616108100888498E-8</v>
      </c>
      <c r="K10" s="1">
        <v>4.9382732356082599E-8</v>
      </c>
      <c r="L10" s="1">
        <v>2891</v>
      </c>
      <c r="M10" s="1">
        <v>1943</v>
      </c>
      <c r="N10" s="1">
        <v>15349.2070701466</v>
      </c>
      <c r="O10" s="1">
        <v>3.5623731613159202</v>
      </c>
      <c r="P10" s="1">
        <v>3.64020872116089</v>
      </c>
      <c r="R10" s="6"/>
    </row>
    <row r="11" spans="1:18">
      <c r="A11" s="1" t="s">
        <v>42</v>
      </c>
      <c r="B11" s="1">
        <v>72</v>
      </c>
      <c r="C11" s="1" t="s">
        <v>5</v>
      </c>
      <c r="D11" s="1">
        <v>129741.89738629499</v>
      </c>
      <c r="E11" s="1">
        <v>1028</v>
      </c>
      <c r="F11" s="1">
        <v>796</v>
      </c>
      <c r="G11" s="1">
        <v>123080.085108935</v>
      </c>
      <c r="H11" s="1">
        <v>1.6515979766845701</v>
      </c>
      <c r="I11" s="1">
        <v>7.4125528335571303E-2</v>
      </c>
      <c r="J11" s="1">
        <v>3.1220325573927401E-6</v>
      </c>
      <c r="K11" s="1">
        <v>6.5886956532092497E-6</v>
      </c>
      <c r="L11" s="1">
        <v>6644</v>
      </c>
      <c r="M11" s="1">
        <v>4828</v>
      </c>
      <c r="N11" s="1">
        <v>123077.27175737399</v>
      </c>
      <c r="O11" s="1">
        <v>7.9311790466308603</v>
      </c>
      <c r="P11" s="1">
        <v>1.53415155410767</v>
      </c>
      <c r="R11" s="6"/>
    </row>
    <row r="12" spans="1:18">
      <c r="A12" s="1" t="s">
        <v>42</v>
      </c>
      <c r="B12" s="1">
        <v>72</v>
      </c>
      <c r="C12" s="1" t="s">
        <v>9</v>
      </c>
      <c r="D12" s="1">
        <v>129741.89738629499</v>
      </c>
      <c r="E12" s="1">
        <v>1028</v>
      </c>
      <c r="F12" s="1">
        <v>796</v>
      </c>
      <c r="G12" s="1">
        <v>122032.364390566</v>
      </c>
      <c r="H12" s="1">
        <v>1.6504096984863299</v>
      </c>
      <c r="I12" s="1">
        <v>6.4373016357421903E-2</v>
      </c>
      <c r="J12" s="1">
        <v>1.2594001503887E-8</v>
      </c>
      <c r="K12" s="1">
        <v>1.8996597139413601E-8</v>
      </c>
      <c r="L12" s="1">
        <v>11108</v>
      </c>
      <c r="M12" s="1">
        <v>7852</v>
      </c>
      <c r="N12" s="1">
        <v>122014.46459909101</v>
      </c>
      <c r="O12" s="1">
        <v>13.280112266540501</v>
      </c>
      <c r="P12" s="1">
        <v>6.3536686897277797</v>
      </c>
      <c r="R12" s="6"/>
    </row>
    <row r="13" spans="1:18">
      <c r="A13" s="1" t="s">
        <v>42</v>
      </c>
      <c r="B13" s="1">
        <v>72</v>
      </c>
      <c r="C13" s="1" t="s">
        <v>11</v>
      </c>
      <c r="D13" s="1">
        <v>129741.89738629499</v>
      </c>
      <c r="E13" s="1">
        <v>1028</v>
      </c>
      <c r="F13" s="1">
        <v>796</v>
      </c>
      <c r="G13" s="1">
        <v>127574.929582878</v>
      </c>
      <c r="H13" s="1">
        <v>1.6495723724365201</v>
      </c>
      <c r="I13" s="1">
        <v>6.4188003540039104E-2</v>
      </c>
      <c r="J13" s="1">
        <v>1.3411853310929599E-8</v>
      </c>
      <c r="K13" s="1">
        <v>2.5985780383893101E-8</v>
      </c>
      <c r="L13" s="1">
        <v>21476</v>
      </c>
      <c r="M13" s="1">
        <v>14764</v>
      </c>
      <c r="N13" s="1">
        <v>127571.023272052</v>
      </c>
      <c r="O13" s="1">
        <v>24.743723869323698</v>
      </c>
      <c r="P13" s="1">
        <v>8.2631530761718697</v>
      </c>
      <c r="R13" s="6"/>
    </row>
    <row r="14" spans="1:18">
      <c r="A14" s="1" t="s">
        <v>42</v>
      </c>
      <c r="B14" s="1">
        <v>72</v>
      </c>
      <c r="C14" s="1" t="s">
        <v>13</v>
      </c>
      <c r="D14" s="1">
        <v>129741.89738629499</v>
      </c>
      <c r="E14" s="1">
        <v>1028</v>
      </c>
      <c r="F14" s="1">
        <v>796</v>
      </c>
      <c r="G14" s="1">
        <v>128383.21135003401</v>
      </c>
      <c r="H14" s="1">
        <v>1.64917469024658</v>
      </c>
      <c r="I14" s="1">
        <v>6.3752412796020494E-2</v>
      </c>
      <c r="J14" s="1">
        <v>1.7351771995933299E-7</v>
      </c>
      <c r="K14" s="1">
        <v>2.7795938344401601E-7</v>
      </c>
      <c r="L14" s="1">
        <v>33284</v>
      </c>
      <c r="M14" s="1">
        <v>22540</v>
      </c>
      <c r="N14" s="1">
        <v>128382.599647886</v>
      </c>
      <c r="O14" s="1">
        <v>41.8440389633179</v>
      </c>
      <c r="P14" s="1">
        <v>16.495355844497698</v>
      </c>
      <c r="R14" s="6"/>
    </row>
    <row r="15" spans="1:18">
      <c r="A15" s="1" t="s">
        <v>42</v>
      </c>
      <c r="B15" s="1">
        <v>72</v>
      </c>
      <c r="C15" s="1" t="s">
        <v>15</v>
      </c>
      <c r="D15" s="1">
        <v>129741.89738629499</v>
      </c>
      <c r="E15" s="1">
        <v>1028</v>
      </c>
      <c r="F15" s="1">
        <v>796</v>
      </c>
      <c r="G15" s="1">
        <v>124974.083289951</v>
      </c>
      <c r="H15" s="1">
        <v>1.6491947174072299</v>
      </c>
      <c r="I15" s="1">
        <v>6.3586711883544894E-2</v>
      </c>
      <c r="J15" s="1">
        <v>1.23294327800999E-8</v>
      </c>
      <c r="K15" s="1">
        <v>2.8450913857040598E-8</v>
      </c>
      <c r="L15" s="1">
        <v>48116</v>
      </c>
      <c r="M15" s="1">
        <v>32476</v>
      </c>
      <c r="N15" s="1">
        <v>124972.702179431</v>
      </c>
      <c r="O15" s="1">
        <v>55.983069419860797</v>
      </c>
      <c r="P15" s="1">
        <v>14.4858067035675</v>
      </c>
      <c r="R15" s="6"/>
    </row>
    <row r="16" spans="1:18">
      <c r="A16" s="1" t="s">
        <v>42</v>
      </c>
      <c r="B16" s="1">
        <v>72</v>
      </c>
      <c r="C16" s="1" t="s">
        <v>17</v>
      </c>
      <c r="D16" s="1">
        <v>129741.89738629499</v>
      </c>
      <c r="E16" s="1">
        <v>1028</v>
      </c>
      <c r="F16" s="1">
        <v>796</v>
      </c>
      <c r="G16" s="1">
        <v>113940.68997849899</v>
      </c>
      <c r="H16" s="1">
        <v>1.65061855316162</v>
      </c>
      <c r="I16" s="1">
        <v>7.3869466781616197E-2</v>
      </c>
      <c r="J16" s="1">
        <v>9.3489523309284805E-7</v>
      </c>
      <c r="K16" s="1">
        <v>3.6794243995576602E-6</v>
      </c>
      <c r="L16" s="1">
        <v>76628</v>
      </c>
      <c r="M16" s="1">
        <v>51484</v>
      </c>
      <c r="N16" s="1">
        <v>113936.992866231</v>
      </c>
      <c r="O16" s="1">
        <v>90.588003158569293</v>
      </c>
      <c r="P16" s="1">
        <v>27.041908025741598</v>
      </c>
      <c r="R16" s="6"/>
    </row>
    <row r="17" spans="1:18">
      <c r="A17" s="1" t="s">
        <v>42</v>
      </c>
      <c r="B17" s="1">
        <v>72</v>
      </c>
      <c r="C17" s="1" t="s">
        <v>19</v>
      </c>
      <c r="D17" s="1">
        <v>129741.89738629499</v>
      </c>
      <c r="E17" s="1">
        <v>1028</v>
      </c>
      <c r="F17" s="1">
        <v>796</v>
      </c>
      <c r="G17" s="1">
        <v>115977.901608721</v>
      </c>
      <c r="H17" s="1">
        <v>1.6525526046752901</v>
      </c>
      <c r="I17" s="1">
        <v>6.2793493270873996E-2</v>
      </c>
      <c r="J17" s="1">
        <v>5.34675817116002E-7</v>
      </c>
      <c r="K17" s="1">
        <v>1.1260847421489601E-6</v>
      </c>
      <c r="L17" s="1">
        <v>88292</v>
      </c>
      <c r="M17" s="1">
        <v>59260</v>
      </c>
      <c r="N17" s="1">
        <v>115963.381673201</v>
      </c>
      <c r="O17" s="1">
        <v>103.477190971374</v>
      </c>
      <c r="P17" s="1">
        <v>80.569007635116606</v>
      </c>
      <c r="R17" s="6"/>
    </row>
    <row r="18" spans="1:18">
      <c r="A18" s="1" t="s">
        <v>42</v>
      </c>
      <c r="B18" s="1">
        <v>72</v>
      </c>
      <c r="C18" s="1" t="s">
        <v>21</v>
      </c>
      <c r="D18" s="1">
        <v>129741.89738629499</v>
      </c>
      <c r="E18" s="1">
        <v>1028</v>
      </c>
      <c r="F18" s="1">
        <v>796</v>
      </c>
      <c r="G18" s="1">
        <v>117614.852778723</v>
      </c>
      <c r="H18" s="1">
        <v>1.6499443054199201</v>
      </c>
      <c r="I18" s="1">
        <v>7.3330640792846694E-2</v>
      </c>
      <c r="J18" s="1">
        <v>2.1835592365683399E-7</v>
      </c>
      <c r="K18" s="1">
        <v>2.2339049583521799E-7</v>
      </c>
      <c r="L18" s="1">
        <v>345476</v>
      </c>
      <c r="M18" s="1">
        <v>230764</v>
      </c>
      <c r="N18" s="1">
        <v>117590.381278976</v>
      </c>
      <c r="O18" s="1">
        <v>391.08575630188</v>
      </c>
      <c r="P18" s="1">
        <v>439.05534601211502</v>
      </c>
      <c r="R18" s="6"/>
    </row>
    <row r="19" spans="1:18">
      <c r="A19" s="1" t="s">
        <v>42</v>
      </c>
      <c r="B19" s="1">
        <v>72</v>
      </c>
      <c r="C19" s="1" t="s">
        <v>24</v>
      </c>
      <c r="D19" s="1">
        <v>129741.89738629499</v>
      </c>
      <c r="E19" s="1">
        <v>1028</v>
      </c>
      <c r="F19" s="1">
        <v>796</v>
      </c>
      <c r="G19" s="1">
        <v>128519.49324545301</v>
      </c>
      <c r="H19" s="1">
        <v>1.6501007080078101</v>
      </c>
      <c r="I19" s="1">
        <v>6.3712358474731404E-2</v>
      </c>
      <c r="J19" s="1">
        <v>3.8426749974308302E-7</v>
      </c>
      <c r="K19" s="1">
        <v>1.2297544349622899E-6</v>
      </c>
      <c r="L19" s="1">
        <v>69428</v>
      </c>
      <c r="M19" s="1">
        <v>46732</v>
      </c>
      <c r="N19" s="1">
        <v>128518.962408306</v>
      </c>
      <c r="O19" s="1">
        <v>87.286376953125</v>
      </c>
      <c r="P19" s="1">
        <v>94.915260314941406</v>
      </c>
      <c r="R19" s="6"/>
    </row>
    <row r="20" spans="1:18">
      <c r="A20" s="1" t="s">
        <v>43</v>
      </c>
      <c r="B20" s="1">
        <v>149</v>
      </c>
      <c r="C20" s="1" t="s">
        <v>5</v>
      </c>
      <c r="D20" s="1">
        <v>901825.155303612</v>
      </c>
      <c r="E20" s="1">
        <v>2239</v>
      </c>
      <c r="F20" s="1">
        <v>1785</v>
      </c>
      <c r="G20" s="1">
        <v>880546.73799617996</v>
      </c>
      <c r="H20" s="1">
        <v>3.4978332519531201</v>
      </c>
      <c r="I20" s="1">
        <v>0.227042436599731</v>
      </c>
      <c r="J20" s="1">
        <v>6.6677107660201297E-6</v>
      </c>
      <c r="K20" s="1">
        <v>1.28687031459929E-5</v>
      </c>
      <c r="L20" s="1">
        <v>13861</v>
      </c>
      <c r="M20" s="1">
        <v>10129</v>
      </c>
      <c r="N20" s="1">
        <v>880557.761408636</v>
      </c>
      <c r="O20" s="1">
        <v>16.428521156311</v>
      </c>
      <c r="P20" s="1">
        <v>2.1354825496673602</v>
      </c>
      <c r="R20" s="6"/>
    </row>
    <row r="21" spans="1:18">
      <c r="A21" s="1" t="s">
        <v>43</v>
      </c>
      <c r="B21" s="1">
        <v>149</v>
      </c>
      <c r="C21" s="1" t="s">
        <v>9</v>
      </c>
      <c r="D21" s="1">
        <v>901825.155303612</v>
      </c>
      <c r="E21" s="1">
        <v>2239</v>
      </c>
      <c r="F21" s="1">
        <v>1785</v>
      </c>
      <c r="G21" s="1">
        <v>877267.18973352597</v>
      </c>
      <c r="H21" s="1">
        <v>3.4988107681274401</v>
      </c>
      <c r="I21" s="1">
        <v>0.12598156929016099</v>
      </c>
      <c r="J21" s="1">
        <v>1.2089317748762101E-8</v>
      </c>
      <c r="K21" s="1">
        <v>2.4536017198048E-8</v>
      </c>
      <c r="L21" s="1">
        <v>23099</v>
      </c>
      <c r="M21" s="1">
        <v>16387</v>
      </c>
      <c r="N21" s="1">
        <v>877254.94967125298</v>
      </c>
      <c r="O21" s="1">
        <v>27.131705284118599</v>
      </c>
      <c r="P21" s="1">
        <v>5.5512228012084996</v>
      </c>
      <c r="R21" s="6"/>
    </row>
    <row r="22" spans="1:18">
      <c r="A22" s="1" t="s">
        <v>43</v>
      </c>
      <c r="B22" s="1">
        <v>149</v>
      </c>
      <c r="C22" s="1" t="s">
        <v>11</v>
      </c>
      <c r="D22" s="1">
        <v>901825.155303612</v>
      </c>
      <c r="E22" s="1">
        <v>2239</v>
      </c>
      <c r="F22" s="1">
        <v>1785</v>
      </c>
      <c r="G22" s="1">
        <v>894621.25392751</v>
      </c>
      <c r="H22" s="1">
        <v>3.49858570098877</v>
      </c>
      <c r="I22" s="1">
        <v>0.22623682022094699</v>
      </c>
      <c r="J22" s="1">
        <v>2.68277720232074E-8</v>
      </c>
      <c r="K22" s="1">
        <v>5.2724700356019198E-8</v>
      </c>
      <c r="L22" s="1">
        <v>44555</v>
      </c>
      <c r="M22" s="1">
        <v>30691</v>
      </c>
      <c r="N22" s="1">
        <v>894614.12834183301</v>
      </c>
      <c r="O22" s="1">
        <v>53.332922935485797</v>
      </c>
      <c r="P22" s="1">
        <v>10.2717609405518</v>
      </c>
      <c r="R22" s="6"/>
    </row>
    <row r="23" spans="1:18">
      <c r="A23" s="1" t="s">
        <v>43</v>
      </c>
      <c r="B23" s="1">
        <v>149</v>
      </c>
      <c r="C23" s="1" t="s">
        <v>13</v>
      </c>
      <c r="D23" s="1">
        <v>901825.155303612</v>
      </c>
      <c r="E23" s="1">
        <v>2239</v>
      </c>
      <c r="F23" s="1">
        <v>1785</v>
      </c>
      <c r="G23" s="1">
        <v>897291.91512758203</v>
      </c>
      <c r="H23" s="1">
        <v>3.4984054565429701</v>
      </c>
      <c r="I23" s="1">
        <v>0.22592735290527299</v>
      </c>
      <c r="J23" s="1">
        <v>8.4486109192887605E-8</v>
      </c>
      <c r="K23" s="1">
        <v>2.87264337830793E-7</v>
      </c>
      <c r="L23" s="1">
        <v>68991</v>
      </c>
      <c r="M23" s="1">
        <v>46783</v>
      </c>
      <c r="N23" s="1">
        <v>897287.05492227001</v>
      </c>
      <c r="O23" s="1">
        <v>82.944180488586397</v>
      </c>
      <c r="P23" s="1">
        <v>21.5191507339478</v>
      </c>
      <c r="R23" s="6"/>
    </row>
    <row r="24" spans="1:18">
      <c r="A24" s="1" t="s">
        <v>43</v>
      </c>
      <c r="B24" s="1">
        <v>149</v>
      </c>
      <c r="C24" s="1" t="s">
        <v>15</v>
      </c>
      <c r="D24" s="1">
        <v>901825.155303612</v>
      </c>
      <c r="E24" s="1">
        <v>2239</v>
      </c>
      <c r="F24" s="1">
        <v>1785</v>
      </c>
      <c r="G24" s="1">
        <v>886394.73981970397</v>
      </c>
      <c r="H24" s="1">
        <v>3.4981508255004901</v>
      </c>
      <c r="I24" s="1">
        <v>0.22705459594726601</v>
      </c>
      <c r="J24" s="1">
        <v>1.09316516343296E-8</v>
      </c>
      <c r="K24" s="1">
        <v>2.83775482863467E-8</v>
      </c>
      <c r="L24" s="1">
        <v>99685</v>
      </c>
      <c r="M24" s="1">
        <v>67345</v>
      </c>
      <c r="N24" s="1">
        <v>886391.65584234404</v>
      </c>
      <c r="O24" s="1">
        <v>117.49734878540001</v>
      </c>
      <c r="P24" s="1">
        <v>71.325971603393597</v>
      </c>
      <c r="R24" s="6"/>
    </row>
    <row r="25" spans="1:18">
      <c r="A25" s="1" t="s">
        <v>43</v>
      </c>
      <c r="B25" s="1">
        <v>149</v>
      </c>
      <c r="C25" s="1" t="s">
        <v>17</v>
      </c>
      <c r="D25" s="1">
        <v>901825.155303612</v>
      </c>
      <c r="E25" s="1">
        <v>2239</v>
      </c>
      <c r="F25" s="1">
        <v>1785</v>
      </c>
      <c r="G25" s="1">
        <v>852575.97213096498</v>
      </c>
      <c r="H25" s="1">
        <v>3.4987916946411102</v>
      </c>
      <c r="I25" s="1">
        <v>0.226438999176025</v>
      </c>
      <c r="J25" s="1">
        <v>5.6473977008894499E-6</v>
      </c>
      <c r="K25" s="1">
        <v>3.0765330409086702E-5</v>
      </c>
      <c r="L25" s="1">
        <v>158689</v>
      </c>
      <c r="M25" s="1">
        <v>106681</v>
      </c>
      <c r="N25" s="1">
        <v>852639.37379804195</v>
      </c>
      <c r="O25" s="1">
        <v>186.28730773925801</v>
      </c>
      <c r="P25" s="1">
        <v>48.835660219192498</v>
      </c>
      <c r="R25" s="6"/>
    </row>
    <row r="26" spans="1:18" s="1" customFormat="1">
      <c r="A26" s="1" t="s">
        <v>43</v>
      </c>
      <c r="B26" s="1">
        <v>149</v>
      </c>
      <c r="C26" s="1" t="s">
        <v>19</v>
      </c>
      <c r="D26" s="1">
        <v>901825.155303612</v>
      </c>
      <c r="E26" s="1">
        <v>2239</v>
      </c>
      <c r="F26" s="1">
        <v>1785</v>
      </c>
      <c r="G26" s="1">
        <v>858946.78317816998</v>
      </c>
      <c r="H26" s="1">
        <v>3.49890804290771</v>
      </c>
      <c r="I26" s="1">
        <v>0.22560024261474601</v>
      </c>
      <c r="J26" s="1">
        <v>1.18127111938289E-6</v>
      </c>
      <c r="K26" s="1">
        <v>4.1621359401648604E-6</v>
      </c>
      <c r="L26" s="1">
        <v>182827</v>
      </c>
      <c r="M26" s="1">
        <v>122773</v>
      </c>
      <c r="N26" s="1">
        <v>858907.98767949699</v>
      </c>
      <c r="O26" s="1">
        <v>210.227358818054</v>
      </c>
      <c r="P26" s="1">
        <v>53.251752853393498</v>
      </c>
    </row>
    <row r="27" spans="1:18" s="1" customFormat="1">
      <c r="A27" s="1" t="s">
        <v>43</v>
      </c>
      <c r="B27" s="1">
        <v>149</v>
      </c>
      <c r="C27" s="1" t="s">
        <v>21</v>
      </c>
      <c r="D27" s="1">
        <v>901825.155303612</v>
      </c>
      <c r="E27" s="1">
        <v>2239</v>
      </c>
      <c r="F27" s="1">
        <v>1785</v>
      </c>
      <c r="G27" s="1">
        <v>864061.19093694002</v>
      </c>
      <c r="H27" s="1">
        <v>3.5037488937377899</v>
      </c>
      <c r="I27" s="1">
        <v>0.226109504699707</v>
      </c>
      <c r="J27" s="1">
        <v>2.2062367487686001E-7</v>
      </c>
      <c r="K27" s="1">
        <v>2.3036315302964899E-7</v>
      </c>
      <c r="L27" s="1">
        <v>715055</v>
      </c>
      <c r="M27" s="1">
        <v>477691</v>
      </c>
      <c r="N27" s="1">
        <v>863985.56715642195</v>
      </c>
      <c r="O27" s="1">
        <v>820.776880264282</v>
      </c>
      <c r="P27" s="1">
        <v>1476.17709183693</v>
      </c>
    </row>
    <row r="28" spans="1:18" s="1" customFormat="1">
      <c r="A28" s="1" t="s">
        <v>43</v>
      </c>
      <c r="B28" s="1">
        <v>149</v>
      </c>
      <c r="C28" s="1" t="s">
        <v>24</v>
      </c>
      <c r="D28" s="1">
        <v>901825.155303612</v>
      </c>
      <c r="E28" s="1">
        <v>2239</v>
      </c>
      <c r="F28" s="1">
        <v>1785</v>
      </c>
      <c r="G28" s="1">
        <v>897807.96576086699</v>
      </c>
      <c r="H28" s="1">
        <v>3.4996480941772501</v>
      </c>
      <c r="I28" s="1">
        <v>0.226238012313843</v>
      </c>
      <c r="J28" s="1">
        <v>1.3729015040661399E-6</v>
      </c>
      <c r="K28" s="1">
        <v>7.8595183858484703E-6</v>
      </c>
      <c r="L28" s="1">
        <v>143789</v>
      </c>
      <c r="M28" s="1">
        <v>96847</v>
      </c>
      <c r="N28" s="1">
        <v>897806.049585431</v>
      </c>
      <c r="O28" s="1">
        <v>179.94398403167699</v>
      </c>
      <c r="P28" s="1">
        <v>338.09373402595497</v>
      </c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3" spans="1:1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7" spans="1:1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41" spans="1:1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5" spans="1:1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9" spans="1:1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3" spans="1:1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7" spans="1:1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61" spans="1:1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5" spans="1:1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9" spans="1:1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3" spans="1:1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7" spans="1:1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81" spans="1:1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5" spans="1:1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9" spans="1:1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3" spans="1:1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7" spans="1:1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1001" spans="1:1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5" spans="1:16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9" spans="1:16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3" spans="1:16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7" spans="1:16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21" spans="1:16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5" spans="1:16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9" spans="1:1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3" spans="1:16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7" spans="1:1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41" spans="1:16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5" spans="1:16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9" spans="1:16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3" spans="1:16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7" spans="1:16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61" spans="1:16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5" spans="1:16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9" spans="1:16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3" spans="1:16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7" spans="1:16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81" spans="1:16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5" spans="1:16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9" spans="1:16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3" spans="1:16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7" spans="1:1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101" spans="1:16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5" spans="1:16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9" spans="1:16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3" spans="1:1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7" spans="1:16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21" spans="1:16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5" spans="1:1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9" spans="1:16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3" spans="1:16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7" spans="1:16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41" spans="1:16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5" spans="1:1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9" spans="1:16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3" spans="1:16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7" spans="1:16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61" spans="1:1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5" spans="1:16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9" spans="1:1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3" spans="1:16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7" spans="1:16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81" spans="1:16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5" spans="1:16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9" spans="1:16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3" spans="1:1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7" spans="1:1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201" spans="1:16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5" spans="1:16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9" spans="1:16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3" spans="1:16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7" spans="1:1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21" spans="1:16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5" spans="1:16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9" spans="1:16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3" spans="1:16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7" spans="1:1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41" spans="1:1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5" spans="1:16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9" spans="1:16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3" spans="1:1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7" spans="1:16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61" spans="1:16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5" spans="1:16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9" spans="1:16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3" spans="1:1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7" spans="1:16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81" spans="1:16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5" spans="1:1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9" spans="1:16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3" spans="1:16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7" spans="1:16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301" spans="1:16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5" spans="1:16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9" spans="1:16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3" spans="1:1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7" spans="1:16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21" spans="1:16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5" spans="1:16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9" spans="1:1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3" spans="1:1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7" spans="1:1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41" spans="1:1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5" spans="1:1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9" spans="1:16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3" spans="1:16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7" spans="1:16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61" spans="1:1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5" spans="1:16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9" spans="1:1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3" spans="1:16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7" spans="1:16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81" spans="1:1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5" spans="1:16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9" spans="1:16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3" spans="1:16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7" spans="1:16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401" spans="1:16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5" spans="1:1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9" spans="1:16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3" spans="1:1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7" spans="1:16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21" spans="1:16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5" spans="1:16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9" spans="1:1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3" spans="1:1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7" spans="1:1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41" spans="1:16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5" spans="1:16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9" spans="1:1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3" spans="1:1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7" spans="1:16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61" spans="1:16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5" spans="1:1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</row>
    <row r="1469" spans="1:16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</row>
    <row r="1473" spans="1:16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</row>
    <row r="1477" spans="1:16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81" spans="1:16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5" spans="1:16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9" spans="1:16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</row>
    <row r="1493" spans="1:16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7" spans="1:16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</row>
    <row r="1501" spans="1:16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</row>
    <row r="1505" spans="1:16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</row>
    <row r="1509" spans="1:16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</row>
    <row r="1513" spans="1:16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</row>
    <row r="1517" spans="1:16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</row>
    <row r="1521" spans="1:16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5" spans="1:16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9" spans="1:16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</row>
    <row r="1533" spans="1:16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7" spans="1:16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41" spans="1:16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5" spans="1:16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</row>
    <row r="1549" spans="1:16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3" spans="1:16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7" spans="1:16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61" spans="1:16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5" spans="1:16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</row>
    <row r="1569" spans="1:16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3" spans="1:16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</row>
    <row r="1577" spans="1:16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81" spans="1:16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</row>
    <row r="1585" spans="1:16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</row>
    <row r="1589" spans="1:1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3" spans="1:1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</row>
    <row r="1597" spans="1:16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</row>
    <row r="1601" spans="1:1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</row>
    <row r="1605" spans="1:1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</row>
    <row r="1609" spans="1:1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3" spans="1:16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7" spans="1:1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21" spans="1:16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5" spans="1:1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9" spans="1:1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3" spans="1:16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</row>
    <row r="1637" spans="1:16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41" spans="1:1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</row>
    <row r="1645" spans="1:16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9" spans="1:16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3" spans="1:16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7" spans="1:16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61" spans="1:16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</row>
    <row r="1665" spans="1:16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</row>
    <row r="1669" spans="1:1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3" spans="1:16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7" spans="1:16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81" spans="1:1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</row>
    <row r="1685" spans="1:1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</row>
    <row r="1689" spans="1:1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</row>
    <row r="1693" spans="1:1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</row>
    <row r="1697" spans="1:16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</row>
    <row r="1701" spans="1:16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</row>
    <row r="1705" spans="1:16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</row>
    <row r="1709" spans="1:16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</row>
    <row r="1713" spans="1:16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</row>
    <row r="1717" spans="1:1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</row>
    <row r="1721" spans="1:1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</row>
    <row r="1725" spans="1:16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</row>
    <row r="1729" spans="1:16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</row>
    <row r="1733" spans="1:1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</row>
    <row r="1737" spans="1:16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</row>
    <row r="1741" spans="1:16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</row>
    <row r="1745" spans="1:1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</row>
    <row r="1749" spans="1:16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</row>
    <row r="1753" spans="1:16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7" spans="1:16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</row>
    <row r="1761" spans="1:1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</row>
    <row r="1765" spans="1:16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</row>
    <row r="1769" spans="1:1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</row>
    <row r="1773" spans="1:16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</row>
    <row r="1777" spans="1:16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</row>
    <row r="1781" spans="1:16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</row>
    <row r="1785" spans="1:1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</row>
    <row r="1789" spans="1:1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</row>
    <row r="1793" spans="1:16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</row>
    <row r="1797" spans="1:1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</row>
    <row r="1801" spans="1:16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</row>
    <row r="1805" spans="1:16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</row>
    <row r="1809" spans="1:16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</row>
    <row r="1813" spans="1:16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</row>
    <row r="1817" spans="1:16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</row>
    <row r="1821" spans="1:1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5" spans="1:1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</row>
    <row r="1829" spans="1:16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</row>
    <row r="1833" spans="1:16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</row>
    <row r="1837" spans="1:16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</row>
    <row r="1841" spans="1:1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</row>
    <row r="1845" spans="1:16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</row>
    <row r="1849" spans="1:1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</row>
    <row r="1853" spans="1:16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7" spans="1:16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</row>
    <row r="1861" spans="1:16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</row>
    <row r="1865" spans="1:1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</row>
    <row r="1869" spans="1:1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3" spans="1:1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</row>
    <row r="1877" spans="1:16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</row>
    <row r="1881" spans="1:1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</row>
    <row r="1885" spans="1:16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</row>
    <row r="1889" spans="1:1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</row>
    <row r="1893" spans="1:16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</row>
    <row r="1897" spans="1:1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</row>
    <row r="1901" spans="1:16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</row>
    <row r="1905" spans="1:1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</row>
    <row r="1909" spans="1:16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</row>
    <row r="1913" spans="1:16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</row>
    <row r="1917" spans="1:16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</row>
    <row r="1921" spans="1:16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</row>
    <row r="1925" spans="1:16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9" spans="1:16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</row>
    <row r="1933" spans="1:16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</row>
    <row r="1937" spans="1:16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</row>
    <row r="1941" spans="1:16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</row>
    <row r="1945" spans="1:1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</row>
    <row r="1949" spans="1:16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</row>
    <row r="1953" spans="1:16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</row>
    <row r="1957" spans="1:16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</row>
    <row r="1961" spans="1:16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</row>
    <row r="1965" spans="1:1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</row>
    <row r="1969" spans="1:1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3" spans="1:16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</row>
    <row r="1977" spans="1:16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</row>
    <row r="1981" spans="1:1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</row>
    <row r="1985" spans="1:1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</row>
    <row r="1989" spans="1:16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3" spans="1:1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7" spans="1:16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</row>
    <row r="2001" spans="1:1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  <row r="2005" spans="1:16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</row>
    <row r="2009" spans="1:16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</row>
    <row r="2013" spans="1:1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</row>
    <row r="2017" spans="1:1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</row>
    <row r="2021" spans="1:1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</row>
    <row r="2025" spans="1:1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</row>
    <row r="2029" spans="1:16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</row>
    <row r="2033" spans="1:1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</row>
    <row r="2037" spans="1:16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</row>
    <row r="2041" spans="1:16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</row>
    <row r="2045" spans="1:16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</row>
    <row r="2049" spans="1:1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</row>
    <row r="2053" spans="1:1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</row>
    <row r="2057" spans="1:1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</row>
    <row r="2061" spans="1:1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</row>
    <row r="2065" spans="1:1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</row>
    <row r="2069" spans="1:1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</row>
    <row r="2073" spans="1:1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</row>
    <row r="2077" spans="1:16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</row>
    <row r="2081" spans="1:16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</row>
    <row r="2085" spans="1:16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</row>
    <row r="2089" spans="1:16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</row>
    <row r="2093" spans="1:16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</row>
    <row r="2097" spans="1:16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</row>
    <row r="2101" spans="1:16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</row>
    <row r="2105" spans="1:1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</row>
    <row r="2109" spans="1:16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</row>
    <row r="2113" spans="1:16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</row>
    <row r="2117" spans="1:16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</row>
    <row r="2121" spans="1:16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</row>
    <row r="2125" spans="1:16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</row>
    <row r="2129" spans="1:1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</row>
    <row r="2133" spans="1:1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</row>
    <row r="2137" spans="1:1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</row>
    <row r="2141" spans="1:16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</row>
    <row r="2145" spans="1:1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</row>
    <row r="2149" spans="1:1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</row>
    <row r="2153" spans="1:1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</row>
    <row r="2157" spans="1:16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</row>
    <row r="2161" spans="1:1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</row>
    <row r="2165" spans="1:16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</row>
    <row r="2169" spans="1:16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</row>
    <row r="2173" spans="1:1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</row>
    <row r="2177" spans="1:16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</row>
    <row r="2181" spans="1:16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</row>
    <row r="2185" spans="1:16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</row>
    <row r="2189" spans="1:1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3" spans="1:16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</row>
    <row r="2197" spans="1:16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</row>
    <row r="2201" spans="1:1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</row>
    <row r="2205" spans="1:16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</row>
    <row r="2209" spans="1:16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</row>
    <row r="2213" spans="1:16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</row>
    <row r="2217" spans="1:1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</row>
    <row r="2221" spans="1:16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</row>
    <row r="2225" spans="1:16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</row>
    <row r="2229" spans="1:16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</row>
    <row r="2233" spans="1:16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7" spans="1:16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</row>
    <row r="2241" spans="1:16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</row>
    <row r="2245" spans="1:16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</row>
    <row r="2249" spans="1:16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</row>
    <row r="2253" spans="1:16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</row>
    <row r="2257" spans="1:1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</row>
    <row r="2261" spans="1:16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</row>
    <row r="2265" spans="1:16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</row>
    <row r="2269" spans="1:16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</row>
    <row r="2273" spans="1:1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</row>
    <row r="2277" spans="1:16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</row>
    <row r="2281" spans="1:16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</row>
    <row r="2285" spans="1:16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</row>
    <row r="2289" spans="1:1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</row>
    <row r="2293" spans="1:16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</row>
    <row r="2297" spans="1:1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</row>
    <row r="2301" spans="1:1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</row>
    <row r="2305" spans="1:16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</row>
    <row r="2309" spans="1:16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</row>
    <row r="2313" spans="1:16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</row>
    <row r="2317" spans="1:16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</row>
    <row r="2321" spans="1:16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</row>
    <row r="2325" spans="1:16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</row>
    <row r="2329" spans="1:16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</row>
    <row r="2333" spans="1:16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</row>
    <row r="2337" spans="1:16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</row>
    <row r="2341" spans="1:16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</row>
    <row r="2345" spans="1:16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</row>
    <row r="2349" spans="1:16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</row>
    <row r="2353" spans="1:16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7" spans="1:16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</row>
    <row r="2361" spans="1:16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</row>
    <row r="2365" spans="1:16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</row>
    <row r="2369" spans="1:16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</row>
    <row r="2373" spans="1:1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</row>
    <row r="2377" spans="1:16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</row>
    <row r="2381" spans="1:16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</row>
    <row r="2385" spans="1:16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</row>
    <row r="2389" spans="1:16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</row>
    <row r="2393" spans="1:16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</row>
    <row r="2397" spans="1:16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</row>
    <row r="2401" spans="1:1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</row>
    <row r="2405" spans="1:1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</row>
    <row r="2409" spans="1:16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</row>
    <row r="2413" spans="1:16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</row>
    <row r="2417" spans="1:16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</row>
    <row r="2421" spans="1:16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</row>
    <row r="2425" spans="1:1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</row>
    <row r="2429" spans="1:1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</row>
    <row r="2433" spans="1:16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</row>
    <row r="2437" spans="1:16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</row>
    <row r="2441" spans="1:16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</row>
    <row r="2445" spans="1:1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</row>
    <row r="2449" spans="1:16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</row>
    <row r="2453" spans="1:16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</row>
    <row r="2457" spans="1:16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</row>
    <row r="2461" spans="1:16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</row>
    <row r="2465" spans="1:1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</row>
    <row r="2469" spans="1:1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</row>
    <row r="2473" spans="1:16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</row>
    <row r="2477" spans="1:16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</row>
    <row r="2481" spans="1:16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</row>
    <row r="2485" spans="1:16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</row>
    <row r="2489" spans="1:1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</row>
    <row r="2493" spans="1:16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</row>
    <row r="2497" spans="1:1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</row>
    <row r="2501" spans="1:16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</row>
    <row r="2505" spans="1:16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</row>
    <row r="2509" spans="1:1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</row>
    <row r="2513" spans="1:16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</row>
    <row r="2517" spans="1:1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</row>
    <row r="2521" spans="1:16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</row>
    <row r="2525" spans="1:16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</row>
    <row r="2529" spans="1:1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</row>
    <row r="2533" spans="1:16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</row>
    <row r="2537" spans="1:16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</row>
    <row r="2541" spans="1:1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</row>
    <row r="2545" spans="1:16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</row>
    <row r="2549" spans="1:1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</row>
    <row r="2553" spans="1:16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</row>
    <row r="2557" spans="1:1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</row>
    <row r="2561" spans="1:1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</row>
    <row r="2565" spans="1:1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</row>
    <row r="2569" spans="1:16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</row>
    <row r="2573" spans="1:1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</row>
    <row r="2577" spans="1:16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</row>
    <row r="2581" spans="1:16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</row>
    <row r="2585" spans="1:16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</row>
    <row r="2589" spans="1:16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</row>
    <row r="2593" spans="1:16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</row>
    <row r="2597" spans="1:16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</row>
    <row r="2601" spans="1:16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</row>
    <row r="2605" spans="1:16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</row>
    <row r="2609" spans="1:16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</row>
    <row r="2613" spans="1:16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</row>
    <row r="2617" spans="1:16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</row>
    <row r="2621" spans="1:16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</row>
    <row r="2625" spans="1:16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</row>
    <row r="2629" spans="1:16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</row>
    <row r="2633" spans="1:1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</row>
    <row r="2637" spans="1:1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</row>
    <row r="2641" spans="1:1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</row>
    <row r="2645" spans="1:16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</row>
    <row r="2649" spans="1:16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</row>
    <row r="2653" spans="1:1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</row>
    <row r="2657" spans="1:16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</row>
    <row r="2661" spans="1:16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</row>
    <row r="2665" spans="1:16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</row>
    <row r="2669" spans="1:16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</row>
    <row r="2673" spans="1:16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</row>
    <row r="2677" spans="1:16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</row>
    <row r="2681" spans="1:16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</row>
    <row r="2685" spans="1:16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</row>
    <row r="2689" spans="1:16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</row>
    <row r="2693" spans="1:1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</row>
    <row r="2697" spans="1:16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</row>
    <row r="2701" spans="1:1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</row>
    <row r="2705" spans="1:16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</row>
    <row r="2709" spans="1:16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</row>
    <row r="2713" spans="1:16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</row>
    <row r="2717" spans="1:16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</row>
    <row r="2721" spans="1:16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</row>
    <row r="2725" spans="1:16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</row>
    <row r="2729" spans="1:16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</row>
    <row r="2733" spans="1:16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</row>
    <row r="2737" spans="1:1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</row>
    <row r="2741" spans="1:16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</row>
    <row r="2745" spans="1:16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</row>
    <row r="2749" spans="1:16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</row>
    <row r="2753" spans="1:1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</row>
    <row r="2757" spans="1:16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</row>
    <row r="2761" spans="1:16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</row>
    <row r="2765" spans="1:1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</row>
    <row r="2769" spans="1:1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</row>
    <row r="2773" spans="1:16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</row>
    <row r="2777" spans="1:16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</row>
    <row r="2781" spans="1:1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</row>
    <row r="2785" spans="1:16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</row>
    <row r="2789" spans="1:1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</row>
    <row r="2793" spans="1:1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</row>
    <row r="2797" spans="1:1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</row>
    <row r="2801" spans="1:16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</row>
    <row r="2805" spans="1:16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</row>
    <row r="2809" spans="1:16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</row>
    <row r="2813" spans="1:1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</row>
    <row r="2817" spans="1:1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</row>
    <row r="2821" spans="1:16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</row>
    <row r="2825" spans="1:16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</row>
    <row r="2829" spans="1:1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</row>
    <row r="2833" spans="1:1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</row>
    <row r="2837" spans="1:1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</row>
    <row r="2841" spans="1:1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</row>
    <row r="2845" spans="1:1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</row>
    <row r="2849" spans="1:1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</row>
    <row r="2853" spans="1:16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</row>
    <row r="2857" spans="1:16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</row>
    <row r="2861" spans="1:1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</row>
    <row r="2865" spans="1:1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</row>
    <row r="2869" spans="1:16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</row>
    <row r="2873" spans="1:16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</row>
    <row r="2877" spans="1:16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</row>
    <row r="2881" spans="1:1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</row>
    <row r="2885" spans="1:1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</row>
    <row r="2889" spans="1:16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</row>
    <row r="2893" spans="1:16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</row>
    <row r="2897" spans="1:1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</row>
    <row r="2901" spans="1:16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</row>
    <row r="2905" spans="1:16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</row>
    <row r="2909" spans="1:16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</row>
    <row r="2913" spans="1:16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</row>
    <row r="2917" spans="1:16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</row>
    <row r="2921" spans="1:1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</row>
    <row r="2925" spans="1:16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</row>
    <row r="2929" spans="1:16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</row>
    <row r="2933" spans="1:1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</row>
    <row r="2937" spans="1:1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</row>
    <row r="2941" spans="1:1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</row>
    <row r="2945" spans="1:1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</row>
    <row r="2949" spans="1:16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</row>
    <row r="2953" spans="1:16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</row>
    <row r="2957" spans="1:16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</row>
    <row r="2961" spans="1:1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</row>
    <row r="2965" spans="1:16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</row>
    <row r="2969" spans="1:16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</row>
    <row r="2973" spans="1:1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</row>
    <row r="2977" spans="1:16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</row>
    <row r="2981" spans="1:16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</row>
    <row r="2985" spans="1:1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</row>
    <row r="2989" spans="1:16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</row>
    <row r="2993" spans="1:16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</row>
    <row r="2997" spans="1:1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</row>
    <row r="3001" spans="1:16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</row>
    <row r="3005" spans="1:16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</row>
    <row r="3009" spans="1:16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</row>
    <row r="3013" spans="1:1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</row>
    <row r="3017" spans="1:1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</row>
    <row r="3021" spans="1:16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</row>
    <row r="3025" spans="1:16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</row>
    <row r="3029" spans="1:16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</row>
    <row r="3033" spans="1:16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</row>
    <row r="3037" spans="1:16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</row>
    <row r="3041" spans="1:1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</row>
    <row r="3045" spans="1:1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</row>
    <row r="3049" spans="1:1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</row>
    <row r="3053" spans="1:1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</row>
    <row r="3057" spans="1:1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</row>
    <row r="3061" spans="1:16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</row>
    <row r="3065" spans="1:16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</row>
    <row r="3069" spans="1:16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</row>
    <row r="3073" spans="1:16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</row>
    <row r="3077" spans="1:16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</row>
    <row r="3081" spans="1:16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</row>
    <row r="3085" spans="1:16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</row>
    <row r="3089" spans="1:16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</row>
    <row r="3093" spans="1:16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</row>
    <row r="3097" spans="1:1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</row>
    <row r="3101" spans="1:1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</row>
    <row r="3105" spans="1:1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</row>
    <row r="3109" spans="1:16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</row>
    <row r="3113" spans="1:1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</row>
    <row r="3117" spans="1:16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</row>
    <row r="3121" spans="1:16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</row>
    <row r="3125" spans="1:16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</row>
    <row r="3129" spans="1:16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</row>
    <row r="3133" spans="1:16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</row>
    <row r="3137" spans="1:1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</row>
    <row r="3141" spans="1:1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</row>
    <row r="3145" spans="1:1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</row>
    <row r="3149" spans="1:1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</row>
    <row r="3153" spans="1:16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</row>
    <row r="3157" spans="1:16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</row>
    <row r="3161" spans="1:16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</row>
    <row r="3165" spans="1:1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</row>
    <row r="3169" spans="1:16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</row>
    <row r="3173" spans="1:16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</row>
    <row r="3177" spans="1:16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</row>
    <row r="3181" spans="1:16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</row>
    <row r="3185" spans="1:16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</row>
    <row r="3189" spans="1:16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</row>
    <row r="3193" spans="1:1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</row>
    <row r="3197" spans="1:16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</row>
    <row r="3201" spans="1:16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</row>
    <row r="3205" spans="1:16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</row>
    <row r="3209" spans="1:16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</row>
    <row r="3213" spans="1:1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</row>
    <row r="3217" spans="1:16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</row>
    <row r="3221" spans="1:16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</row>
    <row r="3225" spans="1:16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</row>
    <row r="3229" spans="1:16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</row>
    <row r="3233" spans="1:16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</row>
    <row r="3237" spans="1:16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</row>
    <row r="3241" spans="1:16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</row>
    <row r="3245" spans="1:1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</row>
    <row r="3249" spans="1:16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</row>
    <row r="3253" spans="1:16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</row>
    <row r="3257" spans="1:1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</row>
    <row r="3261" spans="1:16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</row>
    <row r="3265" spans="1:16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</row>
    <row r="3269" spans="1:1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</row>
    <row r="3273" spans="1:16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</row>
    <row r="3277" spans="1:16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</row>
    <row r="3281" spans="1:1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</row>
    <row r="3285" spans="1:16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</row>
    <row r="3289" spans="1:16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</row>
    <row r="3293" spans="1:1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</row>
    <row r="3297" spans="1:1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</row>
    <row r="3301" spans="1:16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</row>
    <row r="3305" spans="1:16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</row>
    <row r="3309" spans="1:16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</row>
    <row r="3313" spans="1:16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</row>
    <row r="3317" spans="1:1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</row>
    <row r="3321" spans="1:16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</row>
    <row r="3325" spans="1:16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</row>
    <row r="3329" spans="1:16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</row>
    <row r="3333" spans="1:16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</row>
    <row r="3337" spans="1:1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</row>
    <row r="3341" spans="1:16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</row>
    <row r="3345" spans="1:1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</row>
    <row r="3349" spans="1:1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</row>
    <row r="3353" spans="1:16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</row>
    <row r="3357" spans="1:16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</row>
    <row r="3361" spans="1:16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</row>
    <row r="3365" spans="1:1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</row>
    <row r="3369" spans="1:1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</row>
    <row r="3373" spans="1:16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</row>
    <row r="3377" spans="1:16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</row>
    <row r="3381" spans="1:1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</row>
    <row r="3385" spans="1:1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</row>
    <row r="3389" spans="1:16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</row>
    <row r="3393" spans="1:16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</row>
    <row r="3397" spans="1:16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</row>
    <row r="3401" spans="1:1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</row>
    <row r="3405" spans="1:16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</row>
    <row r="3409" spans="1:16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</row>
    <row r="3413" spans="1:16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</row>
    <row r="3417" spans="1:16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</row>
    <row r="3421" spans="1:16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</row>
    <row r="3425" spans="1:16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</row>
    <row r="3429" spans="1:16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</row>
    <row r="3433" spans="1:16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</row>
    <row r="3437" spans="1:1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</row>
    <row r="3441" spans="1:16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</row>
    <row r="3445" spans="1:16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</row>
    <row r="3449" spans="1:16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</row>
    <row r="3453" spans="1:16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</row>
  </sheetData>
  <sortState xmlns:xlrd2="http://schemas.microsoft.com/office/spreadsheetml/2017/richdata2" ref="A2:P1048573">
    <sortCondition ref="A2"/>
  </sortState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selection activeCell="F8" sqref="F8"/>
    </sheetView>
  </sheetViews>
  <sheetFormatPr defaultColWidth="9" defaultRowHeight="14.4"/>
  <cols>
    <col min="1" max="1" width="13.21875" customWidth="1"/>
    <col min="2" max="2" width="10.77734375" customWidth="1"/>
    <col min="3" max="3" width="11.88671875" customWidth="1"/>
    <col min="4" max="4" width="10.77734375" customWidth="1"/>
    <col min="5" max="5" width="11.88671875" customWidth="1"/>
    <col min="6" max="6" width="10.77734375" customWidth="1"/>
    <col min="7" max="7" width="11.88671875" customWidth="1"/>
  </cols>
  <sheetData>
    <row r="1" spans="1:12">
      <c r="H1" s="1"/>
      <c r="I1" s="1"/>
      <c r="J1" s="5" t="s">
        <v>27</v>
      </c>
      <c r="K1" t="s">
        <v>30</v>
      </c>
      <c r="L1" s="5" t="s">
        <v>37</v>
      </c>
    </row>
    <row r="2" spans="1:12">
      <c r="A2" t="s">
        <v>44</v>
      </c>
      <c r="J2" s="1" t="s">
        <v>5</v>
      </c>
      <c r="K2">
        <v>29</v>
      </c>
      <c r="L2" s="1">
        <v>197</v>
      </c>
    </row>
    <row r="3" spans="1:12">
      <c r="A3" s="12" t="s">
        <v>27</v>
      </c>
      <c r="B3" s="19" t="s">
        <v>45</v>
      </c>
      <c r="C3" s="19"/>
      <c r="D3" s="19" t="s">
        <v>46</v>
      </c>
      <c r="E3" s="19"/>
      <c r="F3" s="19" t="s">
        <v>47</v>
      </c>
      <c r="G3" s="19"/>
      <c r="J3" s="1" t="s">
        <v>9</v>
      </c>
      <c r="K3">
        <v>29</v>
      </c>
      <c r="L3" s="1">
        <v>323</v>
      </c>
    </row>
    <row r="4" spans="1:12">
      <c r="A4" s="12"/>
      <c r="B4" s="2" t="s">
        <v>48</v>
      </c>
      <c r="C4" s="2" t="s">
        <v>49</v>
      </c>
      <c r="D4" s="2" t="s">
        <v>48</v>
      </c>
      <c r="E4" s="2" t="s">
        <v>49</v>
      </c>
      <c r="F4" s="2" t="s">
        <v>48</v>
      </c>
      <c r="G4" s="2" t="s">
        <v>49</v>
      </c>
      <c r="J4" s="1" t="s">
        <v>11</v>
      </c>
      <c r="K4">
        <v>29</v>
      </c>
      <c r="L4" s="1">
        <v>611</v>
      </c>
    </row>
    <row r="5" spans="1:12">
      <c r="A5" s="3" t="s">
        <v>50</v>
      </c>
      <c r="B5" s="3">
        <v>41</v>
      </c>
      <c r="C5" s="3">
        <v>302</v>
      </c>
      <c r="D5" s="3">
        <v>1028</v>
      </c>
      <c r="E5" s="3">
        <v>7292</v>
      </c>
      <c r="F5" s="3">
        <v>2239</v>
      </c>
      <c r="G5" s="3">
        <v>15202</v>
      </c>
      <c r="J5" s="1" t="s">
        <v>13</v>
      </c>
      <c r="K5">
        <v>29</v>
      </c>
      <c r="L5" s="1">
        <v>935</v>
      </c>
    </row>
    <row r="6" spans="1:12">
      <c r="A6" s="3" t="s">
        <v>51</v>
      </c>
      <c r="B6" s="3"/>
      <c r="C6" s="3">
        <v>509</v>
      </c>
      <c r="D6" s="3"/>
      <c r="E6" s="3">
        <v>12260</v>
      </c>
      <c r="F6" s="3"/>
      <c r="G6" s="3">
        <v>25483</v>
      </c>
      <c r="H6" s="1"/>
      <c r="I6" s="1"/>
      <c r="J6" s="1" t="s">
        <v>15</v>
      </c>
      <c r="K6">
        <v>29</v>
      </c>
      <c r="L6" s="1">
        <v>1349</v>
      </c>
    </row>
    <row r="7" spans="1:12">
      <c r="A7" s="3" t="s">
        <v>52</v>
      </c>
      <c r="B7" s="3"/>
      <c r="C7" s="3">
        <v>989</v>
      </c>
      <c r="D7" s="3"/>
      <c r="E7" s="3">
        <v>23780</v>
      </c>
      <c r="F7" s="3"/>
      <c r="G7" s="3">
        <v>49323</v>
      </c>
      <c r="J7" s="1" t="s">
        <v>17</v>
      </c>
      <c r="K7">
        <v>29</v>
      </c>
      <c r="L7" s="1">
        <v>2141</v>
      </c>
    </row>
    <row r="8" spans="1:12">
      <c r="A8" s="3" t="s">
        <v>53</v>
      </c>
      <c r="B8" s="3"/>
      <c r="C8" s="3">
        <v>1535</v>
      </c>
      <c r="D8" s="3"/>
      <c r="E8" s="3">
        <v>36884</v>
      </c>
      <c r="F8" s="3"/>
      <c r="G8" s="3">
        <v>76441</v>
      </c>
      <c r="J8" s="1" t="s">
        <v>19</v>
      </c>
      <c r="K8">
        <v>29</v>
      </c>
      <c r="L8" s="1">
        <v>2465</v>
      </c>
    </row>
    <row r="9" spans="1:12">
      <c r="A9" s="3" t="s">
        <v>54</v>
      </c>
      <c r="B9" s="3"/>
      <c r="C9" s="3">
        <v>2222</v>
      </c>
      <c r="D9" s="3"/>
      <c r="E9" s="3">
        <v>53372</v>
      </c>
      <c r="F9" s="3"/>
      <c r="G9" s="3">
        <v>110562</v>
      </c>
      <c r="J9" s="1" t="s">
        <v>21</v>
      </c>
      <c r="K9">
        <v>29</v>
      </c>
      <c r="L9" s="1">
        <v>9611</v>
      </c>
    </row>
    <row r="10" spans="1:12">
      <c r="A10" s="3" t="s">
        <v>55</v>
      </c>
      <c r="B10" s="3"/>
      <c r="C10" s="3">
        <v>3542</v>
      </c>
      <c r="D10" s="3"/>
      <c r="E10" s="3">
        <v>85052</v>
      </c>
      <c r="F10" s="3"/>
      <c r="G10" s="3">
        <v>176122</v>
      </c>
      <c r="J10" s="1" t="s">
        <v>5</v>
      </c>
      <c r="K10">
        <v>796</v>
      </c>
      <c r="L10" s="1">
        <v>4828</v>
      </c>
    </row>
    <row r="11" spans="1:12">
      <c r="A11" s="3" t="s">
        <v>56</v>
      </c>
      <c r="B11" s="3"/>
      <c r="C11" s="3">
        <v>4082</v>
      </c>
      <c r="D11" s="3"/>
      <c r="E11" s="3">
        <v>98012</v>
      </c>
      <c r="F11" s="3"/>
      <c r="G11" s="3">
        <v>202942</v>
      </c>
      <c r="J11" s="1" t="s">
        <v>9</v>
      </c>
      <c r="K11">
        <v>796</v>
      </c>
      <c r="L11" s="1">
        <v>7852</v>
      </c>
    </row>
    <row r="12" spans="1:12">
      <c r="A12" s="3" t="s">
        <v>57</v>
      </c>
      <c r="B12" s="3"/>
      <c r="C12" s="3">
        <v>15989</v>
      </c>
      <c r="D12" s="3"/>
      <c r="E12" s="3">
        <v>383780</v>
      </c>
      <c r="F12" s="3"/>
      <c r="G12" s="3">
        <v>794323</v>
      </c>
      <c r="J12" s="1" t="s">
        <v>11</v>
      </c>
      <c r="K12">
        <v>796</v>
      </c>
      <c r="L12" s="1">
        <v>14764</v>
      </c>
    </row>
    <row r="13" spans="1:12">
      <c r="J13" s="1" t="s">
        <v>13</v>
      </c>
      <c r="K13">
        <v>796</v>
      </c>
      <c r="L13" s="1">
        <v>22540</v>
      </c>
    </row>
    <row r="14" spans="1:12">
      <c r="A14" s="4" t="s">
        <v>58</v>
      </c>
      <c r="J14" s="1" t="s">
        <v>15</v>
      </c>
      <c r="K14">
        <v>796</v>
      </c>
      <c r="L14" s="1">
        <v>32476</v>
      </c>
    </row>
    <row r="15" spans="1:12">
      <c r="A15" s="12" t="s">
        <v>27</v>
      </c>
      <c r="B15" s="19" t="s">
        <v>45</v>
      </c>
      <c r="C15" s="19"/>
      <c r="D15" s="19" t="s">
        <v>46</v>
      </c>
      <c r="E15" s="19"/>
      <c r="F15" s="19" t="s">
        <v>47</v>
      </c>
      <c r="G15" s="19"/>
      <c r="J15" s="1" t="s">
        <v>17</v>
      </c>
      <c r="K15">
        <v>796</v>
      </c>
      <c r="L15" s="1">
        <v>51484</v>
      </c>
    </row>
    <row r="16" spans="1:12">
      <c r="A16" s="12"/>
      <c r="B16" s="2" t="s">
        <v>48</v>
      </c>
      <c r="C16" s="2" t="s">
        <v>49</v>
      </c>
      <c r="D16" s="2" t="s">
        <v>48</v>
      </c>
      <c r="E16" s="2" t="s">
        <v>49</v>
      </c>
      <c r="F16" s="2" t="s">
        <v>48</v>
      </c>
      <c r="G16" s="2" t="s">
        <v>49</v>
      </c>
      <c r="J16" s="1" t="s">
        <v>19</v>
      </c>
      <c r="K16">
        <v>796</v>
      </c>
      <c r="L16" s="1">
        <v>59260</v>
      </c>
    </row>
    <row r="17" spans="1:12">
      <c r="A17" s="3" t="s">
        <v>50</v>
      </c>
      <c r="B17" s="13">
        <v>29</v>
      </c>
      <c r="C17" s="4">
        <v>197</v>
      </c>
      <c r="D17" s="16">
        <v>796</v>
      </c>
      <c r="E17" s="4">
        <v>4828</v>
      </c>
      <c r="F17" s="16">
        <v>1785</v>
      </c>
      <c r="G17" s="4">
        <v>10129</v>
      </c>
      <c r="J17" s="1" t="s">
        <v>21</v>
      </c>
      <c r="K17">
        <v>796</v>
      </c>
      <c r="L17" s="1">
        <v>230764</v>
      </c>
    </row>
    <row r="18" spans="1:12">
      <c r="A18" s="3" t="s">
        <v>51</v>
      </c>
      <c r="B18" s="14"/>
      <c r="C18" s="4">
        <v>323</v>
      </c>
      <c r="D18" s="17"/>
      <c r="E18" s="4">
        <v>7852</v>
      </c>
      <c r="F18" s="17"/>
      <c r="G18" s="4">
        <v>16387</v>
      </c>
      <c r="J18" s="1" t="s">
        <v>5</v>
      </c>
      <c r="K18">
        <v>1785</v>
      </c>
      <c r="L18" s="1">
        <v>10129</v>
      </c>
    </row>
    <row r="19" spans="1:12">
      <c r="A19" s="3" t="s">
        <v>52</v>
      </c>
      <c r="B19" s="14"/>
      <c r="C19" s="4">
        <v>611</v>
      </c>
      <c r="D19" s="17"/>
      <c r="E19" s="4">
        <v>14764</v>
      </c>
      <c r="F19" s="17"/>
      <c r="G19" s="4">
        <v>30691</v>
      </c>
      <c r="J19" s="1" t="s">
        <v>9</v>
      </c>
      <c r="K19">
        <v>1785</v>
      </c>
      <c r="L19" s="1">
        <v>16387</v>
      </c>
    </row>
    <row r="20" spans="1:12">
      <c r="A20" s="3" t="s">
        <v>53</v>
      </c>
      <c r="B20" s="14"/>
      <c r="C20" s="4">
        <v>935</v>
      </c>
      <c r="D20" s="17"/>
      <c r="E20" s="4">
        <v>22540</v>
      </c>
      <c r="F20" s="17"/>
      <c r="G20" s="4">
        <v>46783</v>
      </c>
      <c r="J20" s="1" t="s">
        <v>11</v>
      </c>
      <c r="K20">
        <v>1785</v>
      </c>
      <c r="L20" s="1">
        <v>30691</v>
      </c>
    </row>
    <row r="21" spans="1:12">
      <c r="A21" s="3" t="s">
        <v>54</v>
      </c>
      <c r="B21" s="14"/>
      <c r="C21" s="4">
        <v>1349</v>
      </c>
      <c r="D21" s="17"/>
      <c r="E21" s="4">
        <v>32476</v>
      </c>
      <c r="F21" s="17"/>
      <c r="G21" s="4">
        <v>67345</v>
      </c>
      <c r="J21" s="1" t="s">
        <v>13</v>
      </c>
      <c r="K21">
        <v>1785</v>
      </c>
      <c r="L21" s="1">
        <v>46783</v>
      </c>
    </row>
    <row r="22" spans="1:12">
      <c r="A22" s="3" t="s">
        <v>55</v>
      </c>
      <c r="B22" s="14"/>
      <c r="C22" s="4">
        <v>2141</v>
      </c>
      <c r="D22" s="17"/>
      <c r="E22" s="4">
        <v>51484</v>
      </c>
      <c r="F22" s="17"/>
      <c r="G22" s="4">
        <v>106681</v>
      </c>
      <c r="J22" s="1" t="s">
        <v>15</v>
      </c>
      <c r="K22">
        <v>1785</v>
      </c>
      <c r="L22" s="1">
        <v>67345</v>
      </c>
    </row>
    <row r="23" spans="1:12">
      <c r="A23" s="3" t="s">
        <v>56</v>
      </c>
      <c r="B23" s="14"/>
      <c r="C23" s="4">
        <v>2465</v>
      </c>
      <c r="D23" s="17"/>
      <c r="E23" s="4">
        <v>59260</v>
      </c>
      <c r="F23" s="17"/>
      <c r="G23" s="4">
        <v>122773</v>
      </c>
      <c r="J23" s="1" t="s">
        <v>17</v>
      </c>
      <c r="K23">
        <v>1785</v>
      </c>
      <c r="L23" s="1">
        <v>106681</v>
      </c>
    </row>
    <row r="24" spans="1:12">
      <c r="A24" s="3" t="s">
        <v>57</v>
      </c>
      <c r="B24" s="15"/>
      <c r="C24" s="4">
        <v>9611</v>
      </c>
      <c r="D24" s="18"/>
      <c r="E24" s="4">
        <v>230764</v>
      </c>
      <c r="F24" s="18"/>
      <c r="G24" s="4">
        <v>477691</v>
      </c>
      <c r="J24" s="1" t="s">
        <v>19</v>
      </c>
      <c r="K24">
        <v>1785</v>
      </c>
      <c r="L24" s="1">
        <v>122773</v>
      </c>
    </row>
    <row r="25" spans="1:12">
      <c r="H25" s="1"/>
      <c r="I25" s="1"/>
      <c r="J25" s="1" t="s">
        <v>21</v>
      </c>
      <c r="K25">
        <v>1785</v>
      </c>
      <c r="L25" s="1">
        <v>477691</v>
      </c>
    </row>
    <row r="26" spans="1:12">
      <c r="H26" s="1"/>
      <c r="I26" s="1"/>
    </row>
    <row r="27" spans="1:12">
      <c r="H27" s="1"/>
      <c r="I27" s="1"/>
    </row>
    <row r="28" spans="1:12">
      <c r="H28" s="1"/>
      <c r="I28" s="1"/>
    </row>
    <row r="29" spans="1:12">
      <c r="H29" s="1"/>
      <c r="I29" s="1"/>
    </row>
    <row r="30" spans="1:12">
      <c r="H30" s="1"/>
      <c r="I30" s="1"/>
    </row>
    <row r="31" spans="1:12">
      <c r="H31" s="1"/>
      <c r="I31" s="1"/>
    </row>
    <row r="32" spans="1:12">
      <c r="H32" s="1"/>
      <c r="I32" s="1"/>
    </row>
    <row r="33" spans="8:9">
      <c r="H33" s="1"/>
      <c r="I33" s="1"/>
    </row>
    <row r="34" spans="8:9">
      <c r="H34" s="1"/>
      <c r="I34" s="1"/>
    </row>
    <row r="35" spans="8:9">
      <c r="H35" s="1"/>
      <c r="I35" s="1"/>
    </row>
    <row r="36" spans="8:9">
      <c r="H36" s="1"/>
      <c r="I36" s="1"/>
    </row>
    <row r="37" spans="8:9">
      <c r="H37" s="1"/>
      <c r="I37" s="1"/>
    </row>
    <row r="38" spans="8:9">
      <c r="H38" s="1"/>
      <c r="I38" s="1"/>
    </row>
    <row r="39" spans="8:9">
      <c r="H39" s="1"/>
      <c r="I39" s="1"/>
    </row>
    <row r="40" spans="8:9">
      <c r="H40" s="1"/>
      <c r="I40" s="1"/>
    </row>
  </sheetData>
  <mergeCells count="11">
    <mergeCell ref="A3:A4"/>
    <mergeCell ref="A15:A16"/>
    <mergeCell ref="B17:B24"/>
    <mergeCell ref="D17:D24"/>
    <mergeCell ref="F17:F24"/>
    <mergeCell ref="B3:C3"/>
    <mergeCell ref="D3:E3"/>
    <mergeCell ref="F3:G3"/>
    <mergeCell ref="B15:C15"/>
    <mergeCell ref="D15:E15"/>
    <mergeCell ref="F15:G15"/>
  </mergeCells>
  <phoneticPr fontId="7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ds_case_parameters</vt:lpstr>
      <vt:lpstr>pretrainnet</vt:lpstr>
      <vt:lpstr>fullnet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2025-11-20T09:21:52Z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671B7BBBBFA24701BA11CD14CB151FE5_12</vt:lpwstr>
  </property>
</Properties>
</file>